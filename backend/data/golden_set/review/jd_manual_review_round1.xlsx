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2" autoFilterDateGrouping="1"/>
  </bookViews>
  <sheets>
    <sheet xmlns:r="http://schemas.openxmlformats.org/officeDocument/2006/relationships" name="人工标注" sheetId="1" state="visible" r:id="rId1"/>
    <sheet xmlns:r="http://schemas.openxmlformats.org/officeDocument/2006/relationships" name="标注说明" sheetId="2" state="visible" r:id="rId2"/>
    <sheet xmlns:r="http://schemas.openxmlformats.org/officeDocument/2006/relationships" name="Round1盲标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rlito"/>
      <charset val="134"/>
      <color rgb="FF0563C1"/>
      <sz val="11"/>
    </font>
    <font>
      <name val="宋体"/>
      <charset val="134"/>
      <sz val="11"/>
    </font>
    <font>
      <name val="Calibri"/>
      <charset val="134"/>
      <color theme="1"/>
      <sz val="11"/>
      <scheme val="minor"/>
    </font>
    <font>
      <name val="Carlito"/>
      <charset val="134"/>
      <b val="1"/>
      <color rgb="FFFFFFFF"/>
      <sz val="16"/>
    </font>
    <font>
      <name val="Carlito"/>
      <charset val="134"/>
      <b val="1"/>
      <color rgb="FF7F6000"/>
      <sz val="11"/>
    </font>
    <font>
      <name val="Carlito"/>
      <charset val="134"/>
      <b val="1"/>
      <sz val="11"/>
    </font>
    <font>
      <name val="Carlito"/>
      <charset val="134"/>
      <b val="1"/>
      <color rgb="FF375623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163A5A"/>
      </left>
      <right/>
      <top style="thin">
        <color rgb="FF163A5A"/>
      </top>
      <bottom style="thin">
        <color rgb="FF163A5A"/>
      </bottom>
      <diagonal/>
    </border>
    <border>
      <left/>
      <right/>
      <top style="thin">
        <color rgb="FF163A5A"/>
      </top>
      <bottom style="thin">
        <color rgb="FF163A5A"/>
      </bottom>
      <diagonal/>
    </border>
    <border>
      <left/>
      <right style="thin">
        <color rgb="FF163A5A"/>
      </right>
      <top style="thin">
        <color rgb="FF163A5A"/>
      </top>
      <bottom style="thin">
        <color rgb="FF163A5A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4" fillId="8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9" borderId="17" applyAlignment="1">
      <alignment vertical="center"/>
    </xf>
    <xf numFmtId="0" fontId="18" fillId="10" borderId="18" applyAlignment="1">
      <alignment vertical="center"/>
    </xf>
    <xf numFmtId="0" fontId="19" fillId="10" borderId="17" applyAlignment="1">
      <alignment vertical="center"/>
    </xf>
    <xf numFmtId="0" fontId="20" fillId="11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  <xf numFmtId="0" fontId="0" fillId="0" borderId="0"/>
  </cellStyleXfs>
  <cellXfs count="50">
    <xf numFmtId="0" fontId="0" fillId="0" borderId="0" pivotButton="0" quotePrefix="0" xfId="49"/>
    <xf numFmtId="0" fontId="0" fillId="0" borderId="0" applyAlignment="1" pivotButton="0" quotePrefix="0" xfId="49">
      <alignment horizontal="center" vertical="center"/>
    </xf>
    <xf numFmtId="0" fontId="1" fillId="2" borderId="1" applyAlignment="1" pivotButton="0" quotePrefix="0" xfId="49">
      <alignment horizontal="center" vertical="center" wrapText="1"/>
    </xf>
    <xf numFmtId="0" fontId="1" fillId="2" borderId="2" applyAlignment="1" pivotButton="0" quotePrefix="0" xfId="49">
      <alignment horizontal="center" vertical="center" wrapText="1"/>
    </xf>
    <xf numFmtId="0" fontId="1" fillId="2" borderId="3" applyAlignment="1" pivotButton="0" quotePrefix="0" xfId="49">
      <alignment horizontal="center" vertical="center" wrapText="1"/>
    </xf>
    <xf numFmtId="0" fontId="0" fillId="0" borderId="4" applyAlignment="1" pivotButton="0" quotePrefix="0" xfId="49">
      <alignment horizontal="center" vertical="center" wrapText="1"/>
    </xf>
    <xf numFmtId="0" fontId="0" fillId="0" borderId="5" applyAlignment="1" pivotButton="0" quotePrefix="0" xfId="49">
      <alignment horizontal="center" vertical="center" wrapText="1"/>
    </xf>
    <xf numFmtId="0" fontId="2" fillId="0" borderId="5" applyAlignment="1" pivotButton="0" quotePrefix="0" xfId="49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3" borderId="5" applyAlignment="1" pivotButton="0" quotePrefix="0" xfId="49">
      <alignment horizontal="center" vertical="center" wrapText="1"/>
    </xf>
    <xf numFmtId="0" fontId="0" fillId="0" borderId="6" applyAlignment="1" pivotButton="0" quotePrefix="0" xfId="49">
      <alignment horizontal="center" vertical="center" wrapText="1"/>
    </xf>
    <xf numFmtId="0" fontId="0" fillId="0" borderId="7" applyAlignment="1" pivotButton="0" quotePrefix="0" xfId="49">
      <alignment horizontal="center" vertical="center" wrapText="1"/>
    </xf>
    <xf numFmtId="0" fontId="2" fillId="0" borderId="7" applyAlignment="1" pivotButton="0" quotePrefix="0" xfId="49">
      <alignment horizontal="center" vertical="center" wrapText="1"/>
    </xf>
    <xf numFmtId="0" fontId="3" fillId="0" borderId="7" applyAlignment="1" pivotButton="0" quotePrefix="0" xfId="49">
      <alignment horizontal="center" vertical="center" wrapText="1"/>
    </xf>
    <xf numFmtId="0" fontId="0" fillId="3" borderId="7" applyAlignment="1" pivotButton="0" quotePrefix="0" xfId="49">
      <alignment horizontal="center" vertical="center" wrapText="1"/>
    </xf>
    <xf numFmtId="0" fontId="0" fillId="0" borderId="0" applyAlignment="1" pivotButton="0" quotePrefix="0" xfId="49">
      <alignment horizontal="center" vertical="center" wrapText="1"/>
    </xf>
    <xf numFmtId="0" fontId="0" fillId="0" borderId="8" applyAlignment="1" pivotButton="0" quotePrefix="0" xfId="49">
      <alignment horizontal="center" vertical="center" wrapText="1"/>
    </xf>
    <xf numFmtId="0" fontId="0" fillId="0" borderId="9" applyAlignment="1" pivotButton="0" quotePrefix="0" xfId="49">
      <alignment horizontal="center" vertical="center" wrapText="1"/>
    </xf>
    <xf numFmtId="0" fontId="2" fillId="0" borderId="9" applyAlignment="1" pivotButton="0" quotePrefix="0" xfId="49">
      <alignment horizontal="center" vertical="center" wrapText="1"/>
    </xf>
    <xf numFmtId="0" fontId="0" fillId="3" borderId="9" applyAlignment="1" pivotButton="0" quotePrefix="0" xfId="49">
      <alignment horizontal="center" vertical="center" wrapText="1"/>
    </xf>
    <xf numFmtId="0" fontId="5" fillId="2" borderId="0" applyAlignment="1" pivotButton="0" quotePrefix="0" xfId="49">
      <alignment horizontal="center" vertical="center"/>
    </xf>
    <xf numFmtId="0" fontId="6" fillId="3" borderId="0" applyAlignment="1" pivotButton="0" quotePrefix="0" xfId="49">
      <alignment vertical="center" wrapText="1"/>
    </xf>
    <xf numFmtId="0" fontId="1" fillId="4" borderId="0" applyAlignment="1" pivotButton="0" quotePrefix="0" xfId="49">
      <alignment horizontal="center" vertical="center" wrapText="1"/>
    </xf>
    <xf numFmtId="0" fontId="7" fillId="5" borderId="10" applyAlignment="1" pivotButton="0" quotePrefix="0" xfId="49">
      <alignment vertical="top" wrapText="1"/>
    </xf>
    <xf numFmtId="0" fontId="0" fillId="0" borderId="10" applyAlignment="1" pivotButton="0" quotePrefix="0" xfId="49">
      <alignment vertical="top" wrapText="1"/>
    </xf>
    <xf numFmtId="0" fontId="0" fillId="6" borderId="10" applyAlignment="1" pivotButton="0" quotePrefix="0" xfId="49">
      <alignment vertical="top" wrapText="1"/>
    </xf>
    <xf numFmtId="0" fontId="8" fillId="6" borderId="0" applyAlignment="1" pivotButton="0" quotePrefix="0" xfId="49">
      <alignment vertical="center" wrapText="1"/>
    </xf>
    <xf numFmtId="0" fontId="1" fillId="2" borderId="1" applyAlignment="1" pivotButton="0" quotePrefix="0" xfId="49">
      <alignment horizontal="center" vertical="top" wrapText="1"/>
    </xf>
    <xf numFmtId="0" fontId="1" fillId="2" borderId="2" applyAlignment="1" pivotButton="0" quotePrefix="0" xfId="49">
      <alignment horizontal="center" vertical="top" wrapText="1"/>
    </xf>
    <xf numFmtId="0" fontId="1" fillId="2" borderId="3" applyAlignment="1" pivotButton="0" quotePrefix="0" xfId="49">
      <alignment horizontal="center" vertical="top" wrapText="1"/>
    </xf>
    <xf numFmtId="0" fontId="0" fillId="0" borderId="4" applyAlignment="1" pivotButton="0" quotePrefix="0" xfId="49">
      <alignment vertical="top" wrapText="1"/>
    </xf>
    <xf numFmtId="0" fontId="0" fillId="0" borderId="5" applyAlignment="1" pivotButton="0" quotePrefix="0" xfId="49">
      <alignment vertical="top" wrapText="1"/>
    </xf>
    <xf numFmtId="0" fontId="2" fillId="0" borderId="5" applyAlignment="1" pivotButton="0" quotePrefix="0" xfId="49">
      <alignment vertical="top" wrapText="1"/>
    </xf>
    <xf numFmtId="0" fontId="0" fillId="7" borderId="5" applyAlignment="1" pivotButton="0" quotePrefix="0" xfId="49">
      <alignment vertical="top" wrapText="1"/>
    </xf>
    <xf numFmtId="0" fontId="0" fillId="3" borderId="5" applyAlignment="1" pivotButton="0" quotePrefix="0" xfId="49">
      <alignment vertical="top" wrapText="1"/>
    </xf>
    <xf numFmtId="0" fontId="0" fillId="3" borderId="11" applyAlignment="1" pivotButton="0" quotePrefix="0" xfId="49">
      <alignment vertical="top" wrapText="1"/>
    </xf>
    <xf numFmtId="0" fontId="0" fillId="0" borderId="6" applyAlignment="1" pivotButton="0" quotePrefix="0" xfId="49">
      <alignment vertical="top" wrapText="1"/>
    </xf>
    <xf numFmtId="0" fontId="0" fillId="0" borderId="7" applyAlignment="1" pivotButton="0" quotePrefix="0" xfId="49">
      <alignment vertical="top" wrapText="1"/>
    </xf>
    <xf numFmtId="0" fontId="2" fillId="0" borderId="7" applyAlignment="1" pivotButton="0" quotePrefix="0" xfId="49">
      <alignment vertical="top" wrapText="1"/>
    </xf>
    <xf numFmtId="0" fontId="0" fillId="7" borderId="7" applyAlignment="1" pivotButton="0" quotePrefix="0" xfId="49">
      <alignment vertical="top" wrapText="1"/>
    </xf>
    <xf numFmtId="0" fontId="0" fillId="3" borderId="7" applyAlignment="1" pivotButton="0" quotePrefix="0" xfId="49">
      <alignment vertical="top" wrapText="1"/>
    </xf>
    <xf numFmtId="0" fontId="0" fillId="3" borderId="12" applyAlignment="1" pivotButton="0" quotePrefix="0" xfId="49">
      <alignment vertical="top" wrapText="1"/>
    </xf>
    <xf numFmtId="0" fontId="0" fillId="0" borderId="8" applyAlignment="1" pivotButton="0" quotePrefix="0" xfId="49">
      <alignment vertical="top" wrapText="1"/>
    </xf>
    <xf numFmtId="0" fontId="0" fillId="0" borderId="9" applyAlignment="1" pivotButton="0" quotePrefix="0" xfId="49">
      <alignment vertical="top" wrapText="1"/>
    </xf>
    <xf numFmtId="0" fontId="2" fillId="0" borderId="9" applyAlignment="1" pivotButton="0" quotePrefix="0" xfId="49">
      <alignment vertical="top" wrapText="1"/>
    </xf>
    <xf numFmtId="0" fontId="0" fillId="7" borderId="9" applyAlignment="1" pivotButton="0" quotePrefix="0" xfId="49">
      <alignment vertical="top" wrapText="1"/>
    </xf>
    <xf numFmtId="0" fontId="0" fillId="3" borderId="9" applyAlignment="1" pivotButton="0" quotePrefix="0" xfId="49">
      <alignment vertical="top" wrapText="1"/>
    </xf>
    <xf numFmtId="0" fontId="0" fillId="3" borderId="13" applyAlignment="1" pivotButton="0" quotePrefix="0" xfId="49">
      <alignment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5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nualReviewTable" displayName="ManualReviewTable" ref="A1:X13" headerRowCount="1" totalsRowShown="0">
  <tableColumns count="24">
    <tableColumn id="1" name="sample_id"/>
    <tableColumn id="2" name="source"/>
    <tableColumn id="3" name="source_id"/>
    <tableColumn id="4" name="source_url"/>
    <tableColumn id="5" name="job_title_raw"/>
    <tableColumn id="6" name="company"/>
    <tableColumn id="7" name="location"/>
    <tableColumn id="8" name="detail_raw_text"/>
    <tableColumn id="9" name="current_gold_title"/>
    <tableColumn id="10" name="review_gold_title"/>
    <tableColumn id="11" name="current_gold_skills"/>
    <tableColumn id="12" name="review_gold_skills"/>
    <tableColumn id="13" name="current_gold_bonus_skills"/>
    <tableColumn id="14" name="review_gold_bonus_skills"/>
    <tableColumn id="15" name="current_gold_experience"/>
    <tableColumn id="16" name="review_gold_experience"/>
    <tableColumn id="17" name="current_gold_education"/>
    <tableColumn id="18" name="review_gold_education"/>
    <tableColumn id="19" name="current_gold_core_duties"/>
    <tableColumn id="20" name="review_gold_core_duties"/>
    <tableColumn id="21" name="review_status"/>
    <tableColumn id="22" name="error_type"/>
    <tableColumn id="23" name="review_note"/>
    <tableColumn id="24" name="annota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und1BlindTable" displayName="Round1BlindTable" ref="A1:R13" headerRowCount="1" totalsRowShown="0">
  <tableColumns count="18">
    <tableColumn id="1" name="sample_id" dataDxfId="0"/>
    <tableColumn id="2" name="source" dataDxfId="1"/>
    <tableColumn id="3" name="source_id" dataDxfId="2"/>
    <tableColumn id="4" name="source_url" dataDxfId="3"/>
    <tableColumn id="5" name="job_title_raw" dataDxfId="4"/>
    <tableColumn id="6" name="company" dataDxfId="5"/>
    <tableColumn id="7" name="location" dataDxfId="6"/>
    <tableColumn id="8" name="detail_raw_text" dataDxfId="7"/>
    <tableColumn id="9" name="review_gold_title" dataDxfId="8"/>
    <tableColumn id="10" name="review_gold_skills" dataDxfId="9"/>
    <tableColumn id="11" name="review_gold_bonus_skills" dataDxfId="10"/>
    <tableColumn id="12" name="review_gold_experience" dataDxfId="11"/>
    <tableColumn id="13" name="review_gold_education" dataDxfId="12"/>
    <tableColumn id="14" name="review_gold_core_duties" dataDxfId="13"/>
    <tableColumn id="15" name="review_status" dataDxfId="14"/>
    <tableColumn id="16" name="error_type" dataDxfId="15"/>
    <tableColumn id="17" name="review_note" dataDxfId="16"/>
    <tableColumn id="18" name="annotator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topLeftCell="O1" zoomScale="60" zoomScaleNormal="60" workbookViewId="0">
      <selection activeCell="A1" sqref="A1"/>
    </sheetView>
  </sheetViews>
  <sheetFormatPr baseColWidth="8" defaultColWidth="9" defaultRowHeight="14"/>
  <cols>
    <col width="16" customWidth="1" style="49" min="1" max="1"/>
    <col width="12" customWidth="1" style="49" min="2" max="2"/>
    <col width="30" customWidth="1" style="49" min="3" max="3"/>
    <col width="46" customWidth="1" style="49" min="4" max="4"/>
    <col width="30" customWidth="1" style="49" min="5" max="5"/>
    <col width="28" customWidth="1" style="49" min="6" max="6"/>
    <col width="17" customWidth="1" style="49" min="7" max="7"/>
    <col width="68" customWidth="1" style="49" min="8" max="8"/>
    <col width="22" customWidth="1" style="49" min="9" max="10"/>
    <col width="34" customWidth="1" style="49" min="11" max="12"/>
    <col width="30" customWidth="1" style="49" min="13" max="16"/>
    <col width="18" customWidth="1" style="49" min="17" max="18"/>
    <col width="36" customWidth="1" style="49" min="19" max="20"/>
    <col width="18" customWidth="1" style="49" min="21" max="22"/>
    <col width="34" customWidth="1" style="49" min="23" max="23"/>
    <col width="16" customWidth="1" style="49" min="24" max="24"/>
  </cols>
  <sheetData>
    <row r="1" ht="34" customHeight="1" s="49">
      <c r="A1" s="28" t="inlineStr">
        <is>
          <t>sample_id</t>
        </is>
      </c>
      <c r="B1" s="29" t="inlineStr">
        <is>
          <t>source</t>
        </is>
      </c>
      <c r="C1" s="29" t="inlineStr">
        <is>
          <t>source_id</t>
        </is>
      </c>
      <c r="D1" s="29" t="inlineStr">
        <is>
          <t>source_url</t>
        </is>
      </c>
      <c r="E1" s="29" t="inlineStr">
        <is>
          <t>job_title_raw</t>
        </is>
      </c>
      <c r="F1" s="29" t="inlineStr">
        <is>
          <t>company</t>
        </is>
      </c>
      <c r="G1" s="29" t="inlineStr">
        <is>
          <t>location</t>
        </is>
      </c>
      <c r="H1" s="29" t="inlineStr">
        <is>
          <t>detail_raw_text</t>
        </is>
      </c>
      <c r="I1" s="29" t="inlineStr">
        <is>
          <t>current_gold_title</t>
        </is>
      </c>
      <c r="J1" s="29" t="inlineStr">
        <is>
          <t>review_gold_title</t>
        </is>
      </c>
      <c r="K1" s="29" t="inlineStr">
        <is>
          <t>current_gold_skills</t>
        </is>
      </c>
      <c r="L1" s="29" t="inlineStr">
        <is>
          <t>review_gold_skills</t>
        </is>
      </c>
      <c r="M1" s="29" t="inlineStr">
        <is>
          <t>current_gold_bonus_skills</t>
        </is>
      </c>
      <c r="N1" s="29" t="inlineStr">
        <is>
          <t>review_gold_bonus_skills</t>
        </is>
      </c>
      <c r="O1" s="29" t="inlineStr">
        <is>
          <t>current_gold_experience</t>
        </is>
      </c>
      <c r="P1" s="29" t="inlineStr">
        <is>
          <t>review_gold_experience</t>
        </is>
      </c>
      <c r="Q1" s="29" t="inlineStr">
        <is>
          <t>current_gold_education</t>
        </is>
      </c>
      <c r="R1" s="29" t="inlineStr">
        <is>
          <t>review_gold_education</t>
        </is>
      </c>
      <c r="S1" s="29" t="inlineStr">
        <is>
          <t>current_gold_core_duties</t>
        </is>
      </c>
      <c r="T1" s="29" t="inlineStr">
        <is>
          <t>review_gold_core_duties</t>
        </is>
      </c>
      <c r="U1" s="29" t="inlineStr">
        <is>
          <t>review_status</t>
        </is>
      </c>
      <c r="V1" s="29" t="inlineStr">
        <is>
          <t>error_type</t>
        </is>
      </c>
      <c r="W1" s="29" t="inlineStr">
        <is>
          <t>review_note</t>
        </is>
      </c>
      <c r="X1" s="30" t="inlineStr">
        <is>
          <t>annotator</t>
        </is>
      </c>
    </row>
    <row r="2" ht="145" customHeight="1" s="49">
      <c r="A2" s="31" t="inlineStr">
        <is>
          <t>jd_012</t>
        </is>
      </c>
      <c r="B2" s="32" t="inlineStr">
        <is>
          <t>zhilian</t>
        </is>
      </c>
      <c r="C2" s="32" t="inlineStr">
        <is>
          <t>CCL1480117890J40845576605</t>
        </is>
      </c>
      <c r="D2" s="33">
        <f>HYPERLINK("http://www.zhaopin.com/jobdetail/CCL1480117890J40845576605.htm?refcode=4019&amp;srccode=401903&amp;preactionid=831c9c60-741f-405b-952a-10f8e817b155","http://www.zhaopin.com/jobdetail/CCL1480117890J40845576605.htm?refcode=4019&amp;srccode=401903&amp;preactionid=831c9c60-741f-405b-952a-10f8e817b155")</f>
        <v/>
      </c>
      <c r="E2" s="32" t="inlineStr">
        <is>
          <t>全栈工程师（java，go，python，js，re）</t>
        </is>
      </c>
      <c r="F2" s="32" t="inlineStr">
        <is>
          <t>外企德科数字技术有限公司</t>
        </is>
      </c>
      <c r="G2" s="32" t="inlineStr">
        <is>
          <t>北京·朝阳</t>
        </is>
      </c>
      <c r="H2" s="32" t="inlineStr">
        <is>
          <t>岗位职责：
负责公司内部各系统开发，负责公司信息系统建设；
通过构建领先的信息系统，助力公司业务和组织的长期高效经营与发展；
在安全、隐私、合规层面持续治理，为公司的稳健发展保驾护航；覆盖人事、财务、法务、采购、审批、职场等多个领域的系统开发
任职要求：
1、统招本科学历以上，2年以上相关工作经验，计算机相关专业优先；985/211学历优先；
2、具备良好的计算机、软件工程等专业领域基础知识；
3、至少精通Java、python、golang中的一种；
4、有完整的项目开发经验，具备大型项目经验，erp经验等优先；
5、工作思路清晰，有较好的沟通能力和技术学习能力，拥有良好的编码习惯，有很强的自学能力和自我提高的愿望；</t>
        </is>
      </c>
      <c r="I2" s="34" t="inlineStr">
        <is>
          <t>全栈工程师</t>
        </is>
      </c>
      <c r="J2" s="35" t="inlineStr"/>
      <c r="K2" s="34" t="inlineStr">
        <is>
          <t>["JavaScript","React","Java","GoLang","Python"]</t>
        </is>
      </c>
      <c r="L2" s="35" t="inlineStr"/>
      <c r="M2" s="34" t="inlineStr">
        <is>
          <t>[]</t>
        </is>
      </c>
      <c r="N2" s="35" t="inlineStr"/>
      <c r="O2" s="34" t="inlineStr">
        <is>
          <t>{"min_years":0,"max_years":null}</t>
        </is>
      </c>
      <c r="P2" s="35" t="inlineStr"/>
      <c r="Q2" s="34" t="inlineStr">
        <is>
          <t>本科</t>
        </is>
      </c>
      <c r="R2" s="35" t="inlineStr"/>
      <c r="S2" s="34" t="inlineStr">
        <is>
          <t>["负责前后端全栈开发","参与产品全生命周期技术支持"]</t>
        </is>
      </c>
      <c r="T2" s="35" t="inlineStr"/>
      <c r="U2" s="35" t="inlineStr"/>
      <c r="V2" s="35" t="inlineStr"/>
      <c r="W2" s="35" t="inlineStr"/>
      <c r="X2" s="36" t="inlineStr"/>
    </row>
    <row r="3" ht="145" customHeight="1" s="49">
      <c r="A3" s="37" t="inlineStr">
        <is>
          <t>jd_030</t>
        </is>
      </c>
      <c r="B3" s="38" t="inlineStr">
        <is>
          <t>zhilian</t>
        </is>
      </c>
      <c r="C3" s="38" t="inlineStr">
        <is>
          <t>CC138117190J40879068905</t>
        </is>
      </c>
      <c r="D3" s="39">
        <f>HYPERLINK("http://www.zhaopin.com/jobdetail/CC138117190J40879068905.htm?refcode=4019&amp;srccode=401903&amp;preactionid=721a0763-20d6-421e-ac3f-17c75a8edee2","http://www.zhaopin.com/jobdetail/CC138117190J40879068905.htm?refcode=4019&amp;srccode=401903&amp;preactionid=721a0763-20d6-421e-ac3f-17c75a8edee2")</f>
        <v/>
      </c>
      <c r="E3" s="38" t="inlineStr">
        <is>
          <t>大模型评测工程师（音视频/AIGC/多模态）</t>
        </is>
      </c>
      <c r="F3" s="38" t="inlineStr">
        <is>
          <t>外企德科</t>
        </is>
      </c>
      <c r="G3" s="38" t="inlineStr">
        <is>
          <t>北京·海淀·上地</t>
        </is>
      </c>
      <c r="H3" s="38" t="inlineStr">
        <is>
          <t>职位描述
负责音视频生成大模型及相关方向算法、视频可控类编辑/参考的项目交付质量，包括设计准备完善数据集、标注质量质检、质量验收以及量化的分析评测报告输出；
1. 对音视频质量评估：对生成的音视频进行主观质量评估。包括视频能力（画质、美学、合理性、叙事、清晰度）、音频（自然度、音质、与视频内容的匹配度等），给出专业的主观评价意见；
2. 评测方案设计与执行：从专业的角度，参与制定并执行评测方案，及测试集的设计。负责对标注团队进行培训，把控标注质量和评测结论的准确性。
3. 评测数据整理与分析：对评测过程中产生的数据进行整理和分析，及时发现音频生成中存在的问题，形成评测报告，为项目团队提供有价值的专业参考信息和针对性的改进建议，协助优化模型效果。
4. 跟进行业主流竞品多模态生成/理解模型及行业能力变化，有敏锐的用户视角参与竞品调研、线上效果分析、算法效果分析、问题挖掘归因和行业评测探索，为模型迭代和项目决策提供参考。竞品包括但不限于seeddance、vidu、gemini-omni-flash、veo、hailuo、万相、runway等）
任职要求
1、本科及以上学历，数字媒体艺术、美术、设计、动画、影视编导、导演、摄影、技术美术；或技术方向计算机、人工智能、数据分析等相关专业优先
2、具备较好的审美判断力和视听语言理解能力，对音视频内容质量有较强判断力，熟悉视频画质、美学构图、镜头语言、叙事逻辑、运动合理性、音质、音色、节奏、音画匹配等评价维度。
3、对 AIGC 创作有实际经验，熟悉从创意构思、Prompt 设计、素材准备、模型生成、结果筛选、后期调整到成片交付的完整流程；有影视拍片项目经历、影视行业制作经验或全流程 AIGC 创作经验者优先。
4、深度使用过业界主流文生图、文生视频、多模态大模型或音频生成工具者优先，如即梦、Seedance、海螺、Nano Banana 等；有竞品评测经验，能够清晰分析不同模型的效果水位、优势短板和适用场景者优先。
5、有 AI 算法测试、数据标注、评测体系建设或标注 POC 经验者优先；对大模型、AIGC、多模态生成、视频生成等方向有较深入理解者优先。仅有纯执行型标注经验、缺少评测分析和标准建设能力者不优先。
6、具备较强的主观判断能力和结构化分析能力，能够将主观视听感受拆解并量化为客观评价标准，逻辑清晰、思维敏捷，善于分析总结，并能清楚表达自己的观点、判断依据和问题归因。
7、具备良好的数据敏感度、文档能力和跨团队沟通能力，能够输出评测方案、标注规范、质检报告、评测报告等材料，并与算法、产品、运营、标注团队高效协同。
8、具备优秀的快速学习能力、抗压能力和项目推进意识，能够适应多轮模型迭代、批量样本评测、紧急交付和复杂问题排查。
10、有代码编写经验优先，熟悉 Python、SQL、数据处理、自动化评测脚本、可视化分析，或具备基于 AI 工具提升数据处理和评测效率的能力者优先。</t>
        </is>
      </c>
      <c r="I3" s="40" t="inlineStr">
        <is>
          <t>大模型评测工程师</t>
        </is>
      </c>
      <c r="J3" s="41" t="inlineStr"/>
      <c r="K3" s="40" t="inlineStr">
        <is>
          <t>["音频标注","视频标注","大模型评测","AIGC","多模态模型","音视频模型"]</t>
        </is>
      </c>
      <c r="L3" s="41" t="inlineStr"/>
      <c r="M3" s="40" t="inlineStr">
        <is>
          <t>[]</t>
        </is>
      </c>
      <c r="N3" s="41" t="inlineStr"/>
      <c r="O3" s="40" t="inlineStr">
        <is>
          <t>{"min_years":0,"max_years":null}</t>
        </is>
      </c>
      <c r="P3" s="41" t="inlineStr"/>
      <c r="Q3" s="40" t="inlineStr">
        <is>
          <t>大专</t>
        </is>
      </c>
      <c r="R3" s="41" t="inlineStr"/>
      <c r="S3" s="40" t="inlineStr">
        <is>
          <t>["负责机器学习算法的设计、训练与优化","参与模型工程化部署与性能调优"]</t>
        </is>
      </c>
      <c r="T3" s="41" t="inlineStr"/>
      <c r="U3" s="41" t="inlineStr"/>
      <c r="V3" s="41" t="inlineStr"/>
      <c r="W3" s="41" t="inlineStr"/>
      <c r="X3" s="42" t="inlineStr"/>
    </row>
    <row r="4" ht="145" customHeight="1" s="49">
      <c r="A4" s="37" t="inlineStr">
        <is>
          <t>public_001</t>
        </is>
      </c>
      <c r="B4" s="38" t="inlineStr">
        <is>
          <t>zhilian</t>
        </is>
      </c>
      <c r="C4" s="38" t="inlineStr">
        <is>
          <t>CC246691810J40831043903</t>
        </is>
      </c>
      <c r="D4" s="39">
        <f>HYPERLINK("https://www.zhaopin.com/jobdetail/CC246691810J40831043903.htm","https://www.zhaopin.com/jobdetail/CC246691810J40831043903.htm")</f>
        <v/>
      </c>
      <c r="E4" s="38" t="inlineStr">
        <is>
          <t>python开发工程师</t>
        </is>
      </c>
      <c r="F4" s="38" t="inlineStr">
        <is>
          <t>北京博华信智科技股份有限公司</t>
        </is>
      </c>
      <c r="G4" s="38" t="inlineStr">
        <is>
          <t>北京 朝阳区</t>
        </is>
      </c>
      <c r="H4" s="38" t="inlineStr">
        <is>
          <t>岗位职责:
1.设计和开发基于Odoo的应用程序，以满足企业和组织的需求。
2.参与Odoo平台的定制开发，包括但不限于模块开发和系统集成。
3.优化现有Odoo应用的性能，提升用户体验。
4.与客户沟通，了解需求并提供专业的解决方案。
5.维护和支持Odoo开发项目，确保项目按时交付并符合质量标准。
任职要求：
1.具备扎实的Python开发能力，熟悉Odoo平台的开发环境。
2.具有良好的分析和问题解决能力，能够独立处理和优化代码。
3.良好的团队合作精神和沟通能力，能够与团队成员有效沟通。
4.对新技术有持续学习的意愿，能够快速掌握和应用新知识。
5.有责任心，能够在压力下保持高效的工作状态。</t>
        </is>
      </c>
      <c r="I4" s="40" t="inlineStr"/>
      <c r="J4" s="41" t="inlineStr"/>
      <c r="K4" s="40" t="inlineStr"/>
      <c r="L4" s="41" t="inlineStr"/>
      <c r="M4" s="40" t="inlineStr"/>
      <c r="N4" s="41" t="inlineStr"/>
      <c r="O4" s="40" t="inlineStr"/>
      <c r="P4" s="41" t="inlineStr"/>
      <c r="Q4" s="40" t="inlineStr"/>
      <c r="R4" s="41" t="inlineStr"/>
      <c r="S4" s="40" t="inlineStr"/>
      <c r="T4" s="41" t="inlineStr"/>
      <c r="U4" s="41" t="inlineStr"/>
      <c r="V4" s="41" t="inlineStr"/>
      <c r="W4" s="41" t="inlineStr"/>
      <c r="X4" s="42" t="inlineStr"/>
    </row>
    <row r="5" ht="145" customHeight="1" s="49">
      <c r="A5" s="37" t="inlineStr">
        <is>
          <t>public_002</t>
        </is>
      </c>
      <c r="B5" s="38" t="inlineStr">
        <is>
          <t>zhilian</t>
        </is>
      </c>
      <c r="C5" s="38" t="inlineStr">
        <is>
          <t>CC000283190J40710167711</t>
        </is>
      </c>
      <c r="D5" s="39">
        <f>HYPERLINK("https://www.zhaopin.com/jobdetail/CC000283190J40710167711.htm","https://www.zhaopin.com/jobdetail/CC000283190J40710167711.htm")</f>
        <v/>
      </c>
      <c r="E5" s="38" t="inlineStr">
        <is>
          <t>测试工程师(J12078)</t>
        </is>
      </c>
      <c r="F5" s="38" t="inlineStr">
        <is>
          <t>江铃汽车股份有限公司</t>
        </is>
      </c>
      <c r="G5" s="38" t="inlineStr">
        <is>
          <t>南昌 南昌县</t>
        </is>
      </c>
      <c r="H5" s="38" t="inlineStr">
        <is>
          <t>岗位职责:
1、响应和支持项目中产生的各类测试需求，独立制定测试策略，规划测试周期，完成测试项目；
2、搭建自动化测试体系，对接口，APP，UI进行持续测试；
3、在功能测试过程中，对产品需求提出改善和优化意见，提升产品体验；
4、参与软件测试技术规范的改进和制定, 提升研发质量和测试效率。
任职要求:
1、本科及以上学历，计算机、软件等相关专业；
2、测试理论知识扎实，能够灵活运用各类策略和方法，保证测试覆盖；
3、熟悉软件开发、测试理论和流程；
4、熟悉B/S系统、Ｃ/S系统测试流程和方法，熟悉常用测试管理工具，如Jira、QC等；
5、熟练掌握至少一种编程语言，如Java/JavaScript/Python/Shell；
6、具备产品的需求解构能力，能有效开展未上线产品的体验和评测环节；
7、主动，好学，责任心强，具备良好的对外沟通和团队协作能力；
8、在某一测试领域如性能、自动化或者大数据测试等具备很强的专业技能者优先。</t>
        </is>
      </c>
      <c r="I5" s="40" t="inlineStr"/>
      <c r="J5" s="41" t="inlineStr"/>
      <c r="K5" s="40" t="inlineStr"/>
      <c r="L5" s="41" t="inlineStr"/>
      <c r="M5" s="40" t="inlineStr"/>
      <c r="N5" s="41" t="inlineStr"/>
      <c r="O5" s="40" t="inlineStr"/>
      <c r="P5" s="41" t="inlineStr"/>
      <c r="Q5" s="40" t="inlineStr"/>
      <c r="R5" s="41" t="inlineStr"/>
      <c r="S5" s="40" t="inlineStr"/>
      <c r="T5" s="41" t="inlineStr"/>
      <c r="U5" s="41" t="inlineStr"/>
      <c r="V5" s="41" t="inlineStr"/>
      <c r="W5" s="41" t="inlineStr"/>
      <c r="X5" s="42" t="inlineStr"/>
    </row>
    <row r="6" ht="145" customHeight="1" s="49">
      <c r="A6" s="37" t="inlineStr">
        <is>
          <t>public_003</t>
        </is>
      </c>
      <c r="B6" s="38" t="inlineStr">
        <is>
          <t>zhilian</t>
        </is>
      </c>
      <c r="C6" s="38" t="inlineStr">
        <is>
          <t>CC625242220J40768042010</t>
        </is>
      </c>
      <c r="D6" s="39">
        <f>HYPERLINK("https://www.zhaopin.com/jobdetail/CC625242220J40768042010.htm","https://www.zhaopin.com/jobdetail/CC625242220J40768042010.htm")</f>
        <v/>
      </c>
      <c r="E6" s="38" t="inlineStr">
        <is>
          <t>算法工程师（拼多多集团）</t>
        </is>
      </c>
      <c r="F6" s="38" t="inlineStr">
        <is>
          <t>拼多多集团-PDD</t>
        </is>
      </c>
      <c r="G6" s="38" t="inlineStr">
        <is>
          <t>上海 长宁区</t>
        </is>
      </c>
      <c r="H6" s="38" t="inlineStr">
        <is>
          <t>岗位职责
1. 利用机器学习/深度学习技术/图计算技术，优化app内外搜索、推荐、广告、图像、风控、智能客服、平台治理等效果，提升数亿用户的购物体验和平台的变现效率；
2. 深入产品和业务，发现算法和机制中的不足，提出改进方案并且推动实现；
3. 跟踪业界和学术界最新进展，将理论成果应用到业务场景，提升业务效果。
任职要求
1. 2026届毕业生，硕士及以上学历，计算机相关专业，对算法有浓厚兴趣；
2. 具备强悍的编码能力，熟悉linux开发环境，熟悉TensorFlow、PyTorch、Hive优先；
3. 具备扎实的数据结构功底，熟悉机器学习、深度学习、图计算、自然语言处理、数据挖掘中一项或多项；
4. 对大语言模型、用户增长、搜索引擎、推荐系统、计算广告、图像、互联网风控、智能客服、平台治理等相关领域有经验者优先；
5. 具备较好的数理基础和逻辑分析能力，对解决具有挑战性的问题充满激情，具备较好的主动性和团队合作精神。</t>
        </is>
      </c>
      <c r="I6" s="40" t="inlineStr"/>
      <c r="J6" s="41" t="inlineStr"/>
      <c r="K6" s="40" t="inlineStr"/>
      <c r="L6" s="41" t="inlineStr"/>
      <c r="M6" s="40" t="inlineStr"/>
      <c r="N6" s="41" t="inlineStr"/>
      <c r="O6" s="40" t="inlineStr"/>
      <c r="P6" s="41" t="inlineStr"/>
      <c r="Q6" s="40" t="inlineStr"/>
      <c r="R6" s="41" t="inlineStr"/>
      <c r="S6" s="40" t="inlineStr"/>
      <c r="T6" s="41" t="inlineStr"/>
      <c r="U6" s="41" t="inlineStr"/>
      <c r="V6" s="41" t="inlineStr"/>
      <c r="W6" s="41" t="inlineStr"/>
      <c r="X6" s="42" t="inlineStr"/>
    </row>
    <row r="7" ht="145" customHeight="1" s="49">
      <c r="A7" s="37" t="inlineStr">
        <is>
          <t>public_004</t>
        </is>
      </c>
      <c r="B7" s="38" t="inlineStr">
        <is>
          <t>zhilian</t>
        </is>
      </c>
      <c r="C7" s="38" t="inlineStr">
        <is>
          <t>CC621497980J40827742809</t>
        </is>
      </c>
      <c r="D7" s="39">
        <f>HYPERLINK("https://www.zhaopin.com/jobdetail/CC621497980J40827742809.htm","https://www.zhaopin.com/jobdetail/CC621497980J40827742809.htm")</f>
        <v/>
      </c>
      <c r="E7" s="38" t="inlineStr">
        <is>
          <t>运维工程师（杭州项目）</t>
        </is>
      </c>
      <c r="F7" s="38" t="inlineStr">
        <is>
          <t>八六三软件</t>
        </is>
      </c>
      <c r="G7" s="38" t="inlineStr">
        <is>
          <t>杭州 滨江区</t>
        </is>
      </c>
      <c r="H7" s="38" t="inlineStr">
        <is>
          <t>岗位职责：
1、负责公司软件平台的日常运维，保障平台稳定、高效运行。
2、负责容器化平台的搭建和维护，使用Kubernetes 进行容器编排和管理。
3、负责设计、搭建、维护、优化可观测性系统，包括监控、告警、日志等，提供高效的日志收集、存储、分析和查询能力，实现对平台运行状态的全面掌控。
4、负责自动化运维工具和平台的开发，提升运维效率。
5、负责编写和维护运维文档，包括操作手册、故障处理指南等，处理平台故障，进行问题排查和解决，并总结经验教训。
任职要求：
1、统招本科及以上学历，计算机相关专业优先。
2、具备运维工作3年以上工作经验，有云平台(AWS、Azure、GcP 等)、微服务架构运维经验优先。
3、熟悉 Linux 操作系统，具备扎实的 Shell/Python 脚本编写能力。
4、熟悉 Kubernetes 容器编排技术，具备丰富的实践经验。
5、熟悉 Prometheus、Grafana 等监控工具，具备可观测性系统搭建和维护经验。
6、熟悉 ELK/EEK 等日志系统，具备日志收集、分析和查询的实战经验。
7、熟悉常用的运维工具和技术，例如 Ansible、Jenkins、Git 等。
8、具备良好的问题分析和解决能力，能够独立处理复杂问题。
9、具备良好的沟通能力和团队合作精神，责任心强。</t>
        </is>
      </c>
      <c r="I7" s="40" t="inlineStr"/>
      <c r="J7" s="41" t="inlineStr"/>
      <c r="K7" s="40" t="inlineStr"/>
      <c r="L7" s="41" t="inlineStr"/>
      <c r="M7" s="40" t="inlineStr"/>
      <c r="N7" s="41" t="inlineStr"/>
      <c r="O7" s="40" t="inlineStr"/>
      <c r="P7" s="41" t="inlineStr"/>
      <c r="Q7" s="40" t="inlineStr"/>
      <c r="R7" s="41" t="inlineStr"/>
      <c r="S7" s="40" t="inlineStr"/>
      <c r="T7" s="41" t="inlineStr"/>
      <c r="U7" s="41" t="inlineStr"/>
      <c r="V7" s="41" t="inlineStr"/>
      <c r="W7" s="41" t="inlineStr"/>
      <c r="X7" s="42" t="inlineStr"/>
    </row>
    <row r="8" ht="145" customHeight="1" s="49">
      <c r="A8" s="37" t="inlineStr">
        <is>
          <t>public_005</t>
        </is>
      </c>
      <c r="B8" s="38" t="inlineStr">
        <is>
          <t>zhilian</t>
        </is>
      </c>
      <c r="C8" s="38" t="inlineStr">
        <is>
          <t>CCL1513903680J40913248715</t>
        </is>
      </c>
      <c r="D8" s="39">
        <f>HYPERLINK("https://www.zhaopin.com/jobdetail/CCL1513903680J40913248715.htm","https://www.zhaopin.com/jobdetail/CCL1513903680J40913248715.htm")</f>
        <v/>
      </c>
      <c r="E8" s="38" t="inlineStr">
        <is>
          <t>运维工程师</t>
        </is>
      </c>
      <c r="F8" s="38" t="inlineStr">
        <is>
          <t>杭州煜城教育科技有限公司</t>
        </is>
      </c>
      <c r="G8" s="38" t="inlineStr">
        <is>
          <t>深圳 南山区</t>
        </is>
      </c>
      <c r="H8" s="38" t="inlineStr">
        <is>
          <t>岗位职责:
1、负责公司内部网络设备及计算机系统(软件和硬件设备)的安装与日常维护，保障公司电脑运行管理;
2、机房管理:负责机房网络设备，服务器，空调，消防，UPS，机房环境等监控管理;
3、负责公司IT固定资产的维护管理工作，完善IT固定资产台账等;
4、及时响应用户日常桌面问题需求，收集日常桌面运维中遇到的常见问题并进行优化解决;
5、负责网络与服务器管理与环境监控;
任职要求:
1、大学本科及以上学历，计算机相关专业优先;
2、精通Windows/macOS系统维护;熟悉基本的网络技术，能对PC端网络问题进行快速定位和解决;
3、熟悉常用服务器设备及办公设备，具备故障诊断和处理能力;
4、熟练掌握office办公软件，有良好的文档编写能力;</t>
        </is>
      </c>
      <c r="I8" s="40" t="inlineStr"/>
      <c r="J8" s="41" t="inlineStr"/>
      <c r="K8" s="40" t="inlineStr"/>
      <c r="L8" s="41" t="inlineStr"/>
      <c r="M8" s="40" t="inlineStr"/>
      <c r="N8" s="41" t="inlineStr"/>
      <c r="O8" s="40" t="inlineStr"/>
      <c r="P8" s="41" t="inlineStr"/>
      <c r="Q8" s="40" t="inlineStr"/>
      <c r="R8" s="41" t="inlineStr"/>
      <c r="S8" s="40" t="inlineStr"/>
      <c r="T8" s="41" t="inlineStr"/>
      <c r="U8" s="41" t="inlineStr"/>
      <c r="V8" s="41" t="inlineStr"/>
      <c r="W8" s="41" t="inlineStr"/>
      <c r="X8" s="42" t="inlineStr"/>
    </row>
    <row r="9" ht="145" customHeight="1" s="49">
      <c r="A9" s="37" t="inlineStr">
        <is>
          <t>public_006</t>
        </is>
      </c>
      <c r="B9" s="38" t="inlineStr">
        <is>
          <t>zhilian</t>
        </is>
      </c>
      <c r="C9" s="38" t="inlineStr">
        <is>
          <t>CCL1344028620J40762326112</t>
        </is>
      </c>
      <c r="D9" s="39">
        <f>HYPERLINK("https://www.zhaopin.com/jobdetail/CCL1344028620J40762326112.htm","https://www.zhaopin.com/jobdetail/CCL1344028620J40762326112.htm")</f>
        <v/>
      </c>
      <c r="E9" s="38" t="inlineStr">
        <is>
          <t>数据分析师(J10072)</t>
        </is>
      </c>
      <c r="F9" s="38" t="inlineStr">
        <is>
          <t>北京夏初科技集团有限公司</t>
        </is>
      </c>
      <c r="G9" s="38" t="inlineStr">
        <is>
          <t>北京 朝阳区</t>
        </is>
      </c>
      <c r="H9" s="38" t="inlineStr">
        <is>
          <t>岗位职责:
1、数据收集与整理：从公司内部业务系统、数据库以及外部数据源收集相关数据，对收集到的数据进行清洗、去重、转换等预处理工作，确保数据的准确性、完整性和一致性。
2、数据分析与挖掘：运用统计学方法、机器学习算法等对数据进行深入分析和挖掘，发现数据中的潜在规律和趋势，为业务决策提供数据依据。
3、报表与报告制作：根据业务需求，定期生成各类数据分析报表和可视化报告，如日报、周报、月报等，以直观的方式呈现数据结果和分析结论，使非技术人员也能轻松理解。
4、业务支持：与各业务部门紧密合作，深入了解业务需求和痛点，通过数据分析为业务部门提供针对性的解决方案和建议，助力业务优化和提升。
5、数据监测与预警：建立数据监测体系，实时监控关键业务指标，及时发现数据异常波动并发出预警，协助业务部门快速响应和解决问题。
6、数据模型构建：根据业务需求和数据特点，构建数据分析模型，如预测模型、用户画像模型等，为公司业务发展提供前瞻性的数据分析和预测。
任职要求:
1、统计学、数学、计算机科学、信息管理等相关专业优先。
2、获得相关数据分析认证，如 CPDA（Certified Professional Data Analyst）、CDA（Certified Data Analyst）等优先
3、有参与过大型数据分析项目经验者优先，具备良好的沟通能力，能够与不同部门、不同层级人员进行有效的沟通与协作，准确理解业务需求并传达数据分析结果。
4、具备一定的项目管理能力，能够合理安排数据分析项目的进度和资源，确保项目按时完成。
5、精通统计学、数学基础，熟练掌握数据分析方法和工具，具备较强的逻辑思维能力和问题解决能力。</t>
        </is>
      </c>
      <c r="I9" s="40" t="inlineStr"/>
      <c r="J9" s="41" t="inlineStr"/>
      <c r="K9" s="40" t="inlineStr"/>
      <c r="L9" s="41" t="inlineStr"/>
      <c r="M9" s="40" t="inlineStr"/>
      <c r="N9" s="41" t="inlineStr"/>
      <c r="O9" s="40" t="inlineStr"/>
      <c r="P9" s="41" t="inlineStr"/>
      <c r="Q9" s="40" t="inlineStr"/>
      <c r="R9" s="41" t="inlineStr"/>
      <c r="S9" s="40" t="inlineStr"/>
      <c r="T9" s="41" t="inlineStr"/>
      <c r="U9" s="41" t="inlineStr"/>
      <c r="V9" s="41" t="inlineStr"/>
      <c r="W9" s="41" t="inlineStr"/>
      <c r="X9" s="42" t="inlineStr"/>
    </row>
    <row r="10" ht="145" customHeight="1" s="49">
      <c r="A10" s="37" t="inlineStr">
        <is>
          <t>public_007</t>
        </is>
      </c>
      <c r="B10" s="38" t="inlineStr">
        <is>
          <t>zhilian</t>
        </is>
      </c>
      <c r="C10" s="38" t="inlineStr">
        <is>
          <t>CC413091930J40792330703</t>
        </is>
      </c>
      <c r="D10" s="39">
        <f>HYPERLINK("https://www.zhaopin.com/jobdetail/CC413091930J40792330703.htm","https://www.zhaopin.com/jobdetail/CC413091930J40792330703.htm")</f>
        <v/>
      </c>
      <c r="E10" s="38" t="inlineStr">
        <is>
          <t>大模型算法工程师</t>
        </is>
      </c>
      <c r="F10" s="38" t="inlineStr">
        <is>
          <t>湖南博匠信息科技有限公司</t>
        </is>
      </c>
      <c r="G10" s="38" t="inlineStr">
        <is>
          <t>长沙 岳麓区</t>
        </is>
      </c>
      <c r="H10" s="38" t="inlineStr">
        <is>
          <t>岗位职责
1、参与行业基础大模型的算法设计、开发、优化及落地，解决实际业务问题。
2、与业务团队紧密合作，理解需求并抽象为可建模的算法问题，输出解决方案。
3、跟踪前沿算法技术（如大模型、深度学习、强化学习等），探索其在业务中的应用场景。
4、参与大模型相关的技术开发，包括但不限于模型架构设计、模型融合、模型微调等。
任职要求
1、211/985院校或国际知名高校，数学、计算机、统计、电子信息等相关专业，本科及以上学历。
2、扎实的算法基础，熟悉机器学习（LR、GBDT等）、深度学习（CNN、RNN、Transformer等）核心算法；熟练使用Python，熟悉至少一种深度学习框架（TensorFlow/PyTorch）；具备良好的数据处理能力，熟练使用SQL/Pandas/Spark/ES等工具；熟练掌握常见算法落地流程，包括特征工程、模型评估、AB测试等。
3、1年以上算法相关经验，有实习或项目经历者优先；接触过大模型（如LLM、多模态模型）相关技术，包括底层架构、优化训练、微调或应用开发；具备使用国产算力进行研发的经验者优先。
4、逻辑清晰，具备较强的数学建模和问题拆解能力；良好的沟通能力和团队协作意识，能快速理解业务需求；对技术有热情，学习能力强，能适应快速迭代的业务环境。</t>
        </is>
      </c>
      <c r="I10" s="40" t="inlineStr"/>
      <c r="J10" s="41" t="inlineStr"/>
      <c r="K10" s="40" t="inlineStr"/>
      <c r="L10" s="41" t="inlineStr"/>
      <c r="M10" s="40" t="inlineStr"/>
      <c r="N10" s="41" t="inlineStr"/>
      <c r="O10" s="40" t="inlineStr"/>
      <c r="P10" s="41" t="inlineStr"/>
      <c r="Q10" s="40" t="inlineStr"/>
      <c r="R10" s="41" t="inlineStr"/>
      <c r="S10" s="40" t="inlineStr"/>
      <c r="T10" s="41" t="inlineStr"/>
      <c r="U10" s="41" t="inlineStr"/>
      <c r="V10" s="41" t="inlineStr"/>
      <c r="W10" s="41" t="inlineStr"/>
      <c r="X10" s="42" t="inlineStr"/>
    </row>
    <row r="11" ht="145" customHeight="1" s="49">
      <c r="A11" s="37" t="inlineStr">
        <is>
          <t>public_008</t>
        </is>
      </c>
      <c r="B11" s="38" t="inlineStr">
        <is>
          <t>zhilian</t>
        </is>
      </c>
      <c r="C11" s="38" t="inlineStr">
        <is>
          <t>CC161678510J40830577714</t>
        </is>
      </c>
      <c r="D11" s="39">
        <f>HYPERLINK("https://www.zhaopin.com/jobdetail/CC161678510J40830577714.htm","https://www.zhaopin.com/jobdetail/CC161678510J40830577714.htm")</f>
        <v/>
      </c>
      <c r="E11" s="38" t="inlineStr">
        <is>
          <t>大模型算法工程师</t>
        </is>
      </c>
      <c r="F11" s="38" t="inlineStr">
        <is>
          <t>京东方科技集团股份有限公司</t>
        </is>
      </c>
      <c r="G11" s="38" t="inlineStr">
        <is>
          <t>北京 大兴区</t>
        </is>
      </c>
      <c r="H11" s="38" t="inlineStr">
        <is>
          <t>岗位职责：
1. 构建基于大模型的智能数据分析引擎，提供工厂数据的智能数据分析能力；
2. 构建企业运营智能体应用，提供多模态知识问答、多模态报告生成能力；
3. 探索大模型在知识问答、图表理解、报告拆解、数据联动方面的应用；
4. 结合BOE终端产品、业务线的实际需求，开发通用AI工作流，搭建多智能体（Multi-Agent）应用框架；
任职要求：
1.工作经验2年以上，具有自然语言处理、语音交互、计算机视觉或者深度学习相关专业硕士以上学历；可熟练使用python、C++；:具有一定的抗压能力；
2.具备扎实的LLM相关理论知识，熟悉大模型的微调(Lora）、增量预训练、对齐以及部署加速等相关知识，具备实操能力；
3.熟悉DeepSeek/Qwen等主流大模型，等熟悉Pytorch，DeepSpeed、Megatron主流的深度学习训练框架，熟悉常用的大模型加速推理框架(vLLM，TensorRT-LLM)；；
4.熟悉大模型在产品化过程中的推理、调优、量化、封装、部署等常见技术问题及解决方案；
5.有基于大模型的ChatBI/Agent/RAG等落地应用项目开发经验者加分，有多模态大模型训练经验者加分。</t>
        </is>
      </c>
      <c r="I11" s="40" t="inlineStr"/>
      <c r="J11" s="41" t="inlineStr"/>
      <c r="K11" s="40" t="inlineStr"/>
      <c r="L11" s="41" t="inlineStr"/>
      <c r="M11" s="40" t="inlineStr"/>
      <c r="N11" s="41" t="inlineStr"/>
      <c r="O11" s="40" t="inlineStr"/>
      <c r="P11" s="41" t="inlineStr"/>
      <c r="Q11" s="40" t="inlineStr"/>
      <c r="R11" s="41" t="inlineStr"/>
      <c r="S11" s="40" t="inlineStr"/>
      <c r="T11" s="41" t="inlineStr"/>
      <c r="U11" s="41" t="inlineStr"/>
      <c r="V11" s="41" t="inlineStr"/>
      <c r="W11" s="41" t="inlineStr"/>
      <c r="X11" s="42" t="inlineStr"/>
    </row>
    <row r="12" ht="145" customHeight="1" s="49">
      <c r="A12" s="37" t="inlineStr">
        <is>
          <t>public_009</t>
        </is>
      </c>
      <c r="B12" s="38" t="inlineStr">
        <is>
          <t>zhilian</t>
        </is>
      </c>
      <c r="C12" s="38" t="inlineStr">
        <is>
          <t>CC231729210J40594294301</t>
        </is>
      </c>
      <c r="D12" s="39">
        <f>HYPERLINK("https://www.zhaopin.com/jobdetail/CC231729210J40594294301.htm","https://www.zhaopin.com/jobdetail/CC231729210J40594294301.htm")</f>
        <v/>
      </c>
      <c r="E12" s="38" t="inlineStr">
        <is>
          <t>数据工程师</t>
        </is>
      </c>
      <c r="F12" s="38" t="inlineStr">
        <is>
          <t>中富通</t>
        </is>
      </c>
      <c r="G12" s="38" t="inlineStr">
        <is>
          <t>上海 杨浦区</t>
        </is>
      </c>
      <c r="H12" s="38" t="inlineStr">
        <is>
          <t>岗位职责：
1、制定和执行数据产品的战略规划，确定数据产品的愿景、目标和路线图。理解市场需求和竞争环境，将其转化为数据产品的关键特性和功能。
2、与业务部门、数据科学家和技术团队合作，收集和分析用户需求，定义数据产品的功能和规格。确保数据产品能够满足用户的期望和业务需求。
3、制定数据产品的开发计划和优先级，确保按时交付高质量的产品。根据市场需求和业务优先级，制定产品发布计划和里程碑。
4、与数据科学家、工程师、设计师、市场营销团队和运营团队等跨部门团队密切合作。协调各团队的工作，确保数据产品的顺利开发、测试和上线。
5、关注用户体验，确保数据产品的易用性和用户友好性。与设计师合作，制定用户界面和交互设计，提供优化建议和反馈。
6、定义数据产品的关键性能指标和数据追踪方案。监测和分析产品的使用情况和效果，提供数据驱动的决策支持和产品改进建议
任职资格：
1、具备计算机科学、数据科学、商业管理或相关领域的学士或硕士学位，至少3年以上的相关经验；
2、熟练掌握Html/JavaScript/CSS、以及AngularJS、Jquery等前台开发框架；
2、熟练掌握常见Linux 命令，Scala/Python/shell/perl 中的一种或更多开发语言；
3、有大数据Hadoop/HBase/Flume/Kafka/Flink/Hive/Spark等开源大数据技术相关经验。</t>
        </is>
      </c>
      <c r="I12" s="40" t="inlineStr"/>
      <c r="J12" s="41" t="inlineStr"/>
      <c r="K12" s="40" t="inlineStr"/>
      <c r="L12" s="41" t="inlineStr"/>
      <c r="M12" s="40" t="inlineStr"/>
      <c r="N12" s="41" t="inlineStr"/>
      <c r="O12" s="40" t="inlineStr"/>
      <c r="P12" s="41" t="inlineStr"/>
      <c r="Q12" s="40" t="inlineStr"/>
      <c r="R12" s="41" t="inlineStr"/>
      <c r="S12" s="40" t="inlineStr"/>
      <c r="T12" s="41" t="inlineStr"/>
      <c r="U12" s="41" t="inlineStr"/>
      <c r="V12" s="41" t="inlineStr"/>
      <c r="W12" s="41" t="inlineStr"/>
      <c r="X12" s="42" t="inlineStr"/>
    </row>
    <row r="13" ht="145" customHeight="1" s="49">
      <c r="A13" s="43" t="inlineStr">
        <is>
          <t>public_010</t>
        </is>
      </c>
      <c r="B13" s="44" t="inlineStr">
        <is>
          <t>zhilian</t>
        </is>
      </c>
      <c r="C13" s="44" t="inlineStr">
        <is>
          <t>CC385622410J40778876906</t>
        </is>
      </c>
      <c r="D13" s="45">
        <f>HYPERLINK("https://www.zhaopin.com/jobdetail/CC385622410J40778876906.htm","https://www.zhaopin.com/jobdetail/CC385622410J40778876906.htm")</f>
        <v/>
      </c>
      <c r="E13" s="44" t="inlineStr">
        <is>
          <t>运维工程师</t>
        </is>
      </c>
      <c r="F13" s="44" t="inlineStr">
        <is>
          <t>法本信息</t>
        </is>
      </c>
      <c r="G13" s="44" t="inlineStr">
        <is>
          <t>海口 美兰区</t>
        </is>
      </c>
      <c r="H13" s="44" t="inlineStr">
        <is>
          <t>岗位职责
负责系统功能验证、系统初始化及运行支持，系统使用培训、材料编写。
负责系统日常维护，开展应用、数据库及作业的问题处理。
负责系统作业的申请、系统作业的发布配置部署工作，配合开发开展问题排查。
负责接收咨询反馈的数据需求授权、问题处理。
负责数据供给链接排查及传递数据采集处理，相关台账梳理，保障常规数据稳定性。
任职要求
1年及以上工作经验。
熟悉南方电网基建、计量、营销等项目实施推广经验的优先。
熟悉掌握南方数据中心工具优先。
具备基本的电网业务知识，了解安全生产及项目管理等相关电网业务。
具备系统日常运维、统一部署、监控管理、性能优化、问题分析、故障处置的相关能力。</t>
        </is>
      </c>
      <c r="I13" s="46" t="inlineStr"/>
      <c r="J13" s="47" t="inlineStr"/>
      <c r="K13" s="46" t="inlineStr"/>
      <c r="L13" s="47" t="inlineStr"/>
      <c r="M13" s="46" t="inlineStr"/>
      <c r="N13" s="47" t="inlineStr"/>
      <c r="O13" s="46" t="inlineStr"/>
      <c r="P13" s="47" t="inlineStr"/>
      <c r="Q13" s="46" t="inlineStr"/>
      <c r="R13" s="47" t="inlineStr"/>
      <c r="S13" s="46" t="inlineStr"/>
      <c r="T13" s="47" t="inlineStr"/>
      <c r="U13" s="47" t="inlineStr"/>
      <c r="V13" s="47" t="inlineStr"/>
      <c r="W13" s="47" t="inlineStr"/>
      <c r="X13" s="48" t="inlineStr"/>
    </row>
  </sheetData>
  <dataValidations count="1">
    <dataValidation sqref="U2:U13" showDropDown="0" showInputMessage="0" showErrorMessage="0" allowBlank="0" type="list">
      <formula1>"正确,部分错误,明显错误,原文不足无法判断"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topLeftCell="A8" zoomScale="80" zoomScaleNormal="80" workbookViewId="0">
      <selection activeCell="A1" sqref="A1:F1"/>
    </sheetView>
  </sheetViews>
  <sheetFormatPr baseColWidth="8" defaultColWidth="9" defaultRowHeight="14"/>
  <cols>
    <col width="24" customWidth="1" style="49" min="1" max="1"/>
    <col width="26" customWidth="1" style="49" min="2" max="2"/>
    <col width="48" customWidth="1" style="49" min="3" max="4"/>
    <col width="42" customWidth="1" style="49" min="5" max="5"/>
    <col width="28" customWidth="1" style="49" min="6" max="6"/>
  </cols>
  <sheetData>
    <row r="1" ht="32" customHeight="1" s="49">
      <c r="A1" s="21" t="inlineStr">
        <is>
          <t>JD 黄金集人工标注说明（Round 1）</t>
        </is>
      </c>
    </row>
    <row r="3" ht="44" customHeight="1" s="49">
      <c r="A3" s="22" t="inlineStr">
        <is>
          <t>总原则：只能依据“人工标注”表的 detail_raw_text。不得根据岗位常识、职位标题、公司背景或外部信息补充原文没有的内容；AI 不得代替人工填写任何 review_* 字段。</t>
        </is>
      </c>
    </row>
    <row r="5">
      <c r="A5" s="23" t="inlineStr">
        <is>
          <t>字段</t>
        </is>
      </c>
      <c r="B5" s="23" t="inlineStr">
        <is>
          <t>填写格式</t>
        </is>
      </c>
      <c r="C5" s="23" t="inlineStr">
        <is>
          <t>人工判断规则</t>
        </is>
      </c>
      <c r="D5" s="23" t="inlineStr">
        <is>
          <t>示例/边界</t>
        </is>
      </c>
      <c r="E5" s="23" t="inlineStr">
        <is>
          <t>不得做的事</t>
        </is>
      </c>
      <c r="F5" s="23" t="inlineStr">
        <is>
          <t>填写位置</t>
        </is>
      </c>
    </row>
    <row r="6" ht="75" customHeight="1" s="49">
      <c r="A6" s="24" t="inlineStr">
        <is>
          <t>gold_title</t>
        </is>
      </c>
      <c r="B6" s="25" t="inlineStr">
        <is>
          <t>标准岗位名（字符串）</t>
        </is>
      </c>
      <c r="C6" s="25" t="inlineStr">
        <is>
          <t>依据正文主要职责确定标准化岗位名；不要仅机械照抄带营销语、地点或薪资的原始标题。</t>
        </is>
      </c>
      <c r="D6" s="25" t="inlineStr">
        <is>
          <t>如“后端开发工程师”，而非“后端”或“急招 Java”。</t>
        </is>
      </c>
      <c r="E6" s="25" t="inlineStr">
        <is>
          <t>不得把正文未支持的技术方向加入岗位名。</t>
        </is>
      </c>
      <c r="F6" s="26" t="inlineStr">
        <is>
          <t>review_gold_title</t>
        </is>
      </c>
    </row>
    <row r="7" ht="75" customHeight="1" s="49">
      <c r="A7" s="24" t="inlineStr">
        <is>
          <t>gold_skills</t>
        </is>
      </c>
      <c r="B7" s="25" t="inlineStr">
        <is>
          <t>JSON 数组</t>
        </is>
      </c>
      <c r="C7" s="25" t="inlineStr">
        <is>
          <t>仅填写正文明确要求的必备技能、技术、工具或方法。技能名称按项目规范归一化。</t>
        </is>
      </c>
      <c r="D7" s="25" t="inlineStr">
        <is>
          <t>统一大小写：Python；去版本：Python3→Python、React 18→React；同义词：JS→JavaScript、TS→TypeScript。</t>
        </is>
      </c>
      <c r="E7" s="25" t="inlineStr">
        <is>
          <t>不得把“优先”“加分”“了解即可”技能写为必备。</t>
        </is>
      </c>
      <c r="F7" s="26" t="inlineStr">
        <is>
          <t>review_gold_skills</t>
        </is>
      </c>
    </row>
    <row r="8" ht="75" customHeight="1" s="49">
      <c r="A8" s="24" t="inlineStr">
        <is>
          <t>gold_bonus_skills</t>
        </is>
      </c>
      <c r="B8" s="25" t="inlineStr">
        <is>
          <t>JSON 数组</t>
        </is>
      </c>
      <c r="C8" s="25" t="inlineStr">
        <is>
          <t>填写正文以“优先”“加分”“有…经验者优先”等方式出现的加分技能。</t>
        </is>
      </c>
      <c r="D8" s="25" t="inlineStr">
        <is>
          <t>与 gold_skills 分开；同一技能不应同时出现在两列。</t>
        </is>
      </c>
      <c r="E8" s="25" t="inlineStr">
        <is>
          <t>不得把必备项降为加分项，也不得凭常识补充。</t>
        </is>
      </c>
      <c r="F8" s="26" t="inlineStr">
        <is>
          <t>review_gold_bonus_skills</t>
        </is>
      </c>
    </row>
    <row r="9" ht="75" customHeight="1" s="49">
      <c r="A9" s="24" t="inlineStr">
        <is>
          <t>gold_experience</t>
        </is>
      </c>
      <c r="B9" s="25" t="inlineStr">
        <is>
          <t>JSON 对象</t>
        </is>
      </c>
      <c r="C9" s="25" t="inlineStr">
        <is>
          <t>仅按正文明确年限填写 {"min_years": n, "max_years": n 或 null}；“经验不限”填 0 和 null。</t>
        </is>
      </c>
      <c r="D9" s="25" t="inlineStr">
        <is>
          <t>没有明确年限时，不根据职级或岗位名推断。</t>
        </is>
      </c>
      <c r="E9" s="25" t="inlineStr">
        <is>
          <t>不得把项目经历、学历年限推算为工作经验。</t>
        </is>
      </c>
      <c r="F9" s="26" t="inlineStr">
        <is>
          <t>review_gold_experience</t>
        </is>
      </c>
    </row>
    <row r="10" ht="75" customHeight="1" s="49">
      <c r="A10" s="24" t="inlineStr">
        <is>
          <t>gold_education</t>
        </is>
      </c>
      <c r="B10" s="25" t="inlineStr">
        <is>
          <t>博士 / 硕士 / 本科 / 大专 / 不限</t>
        </is>
      </c>
      <c r="C10" s="25" t="inlineStr">
        <is>
          <t>按正文明确学历要求填写；如“本科及以上”填本科。</t>
        </is>
      </c>
      <c r="D10" s="25" t="inlineStr">
        <is>
          <t>正文没有学历要求时填不限。</t>
        </is>
      </c>
      <c r="E10" s="25" t="inlineStr">
        <is>
          <t>不得按公司、岗位或经验要求猜测学历。</t>
        </is>
      </c>
      <c r="F10" s="26" t="inlineStr">
        <is>
          <t>review_gold_education</t>
        </is>
      </c>
    </row>
    <row r="11" ht="75" customHeight="1" s="49">
      <c r="A11" s="24" t="inlineStr">
        <is>
          <t>gold_core_duties</t>
        </is>
      </c>
      <c r="B11" s="25" t="inlineStr">
        <is>
          <t>JSON 数组，最多 5 条</t>
        </is>
      </c>
      <c r="C11" s="25" t="inlineStr">
        <is>
          <t>从岗位职责中提炼最核心、可独立理解的职责；保留原意，控制在 5 条以内。</t>
        </is>
      </c>
      <c r="D11" s="25" t="inlineStr">
        <is>
          <t>优先选择职责段中反复强调或直接面向岗位产出的事项。</t>
        </is>
      </c>
      <c r="E11" s="25" t="inlineStr">
        <is>
          <t>不得把任职要求、福利、公司介绍或推测职责写入。</t>
        </is>
      </c>
      <c r="F11" s="26" t="inlineStr">
        <is>
          <t>review_gold_core_duties</t>
        </is>
      </c>
    </row>
    <row r="13" ht="38" customHeight="1" s="49">
      <c r="A13" s="27" t="inlineStr">
        <is>
          <t>填写 review_status：正确 / 部分错误 / 明显错误 / 原文不足无法判断。error_type 与 review_note 仅记录人工核对结论及其原文依据；annotator 由人工填写姓名或编号。</t>
        </is>
      </c>
    </row>
  </sheetData>
  <mergeCells count="3">
    <mergeCell ref="A3:F3"/>
    <mergeCell ref="A13:F13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abSelected="1" topLeftCell="J1" zoomScale="55" zoomScaleNormal="55" workbookViewId="0">
      <selection activeCell="R2" sqref="R2"/>
    </sheetView>
  </sheetViews>
  <sheetFormatPr baseColWidth="8" defaultColWidth="9" defaultRowHeight="14"/>
  <cols>
    <col width="16" customWidth="1" style="1" min="1" max="1"/>
    <col width="12" customWidth="1" style="1" min="2" max="2"/>
    <col width="30" customWidth="1" style="1" min="3" max="3"/>
    <col width="46" customWidth="1" style="1" min="4" max="4"/>
    <col width="30" customWidth="1" style="1" min="5" max="5"/>
    <col width="28" customWidth="1" style="1" min="6" max="6"/>
    <col width="17" customWidth="1" style="1" min="7" max="7"/>
    <col width="68" customWidth="1" style="1" min="8" max="8"/>
    <col width="24" customWidth="1" style="1" min="9" max="9"/>
    <col width="34" customWidth="1" style="1" min="10" max="10"/>
    <col width="30" customWidth="1" style="1" min="11" max="12"/>
    <col width="18" customWidth="1" style="1" min="13" max="13"/>
    <col width="36" customWidth="1" style="1" min="14" max="14"/>
    <col width="18" customWidth="1" style="1" min="15" max="16"/>
    <col width="34" customWidth="1" style="1" min="17" max="17"/>
    <col width="16" customWidth="1" style="1" min="18" max="18"/>
    <col width="9" customWidth="1" style="1" min="19" max="16384"/>
  </cols>
  <sheetData>
    <row r="1" ht="34" customHeight="1" s="49">
      <c r="A1" s="2" t="inlineStr">
        <is>
          <t>sample_id</t>
        </is>
      </c>
      <c r="B1" s="3" t="inlineStr">
        <is>
          <t>source</t>
        </is>
      </c>
      <c r="C1" s="3" t="inlineStr">
        <is>
          <t>source_id</t>
        </is>
      </c>
      <c r="D1" s="3" t="inlineStr">
        <is>
          <t>source_url</t>
        </is>
      </c>
      <c r="E1" s="3" t="inlineStr">
        <is>
          <t>job_title_raw</t>
        </is>
      </c>
      <c r="F1" s="3" t="inlineStr">
        <is>
          <t>company</t>
        </is>
      </c>
      <c r="G1" s="3" t="inlineStr">
        <is>
          <t>location</t>
        </is>
      </c>
      <c r="H1" s="3" t="inlineStr">
        <is>
          <t>detail_raw_text</t>
        </is>
      </c>
      <c r="I1" s="3" t="inlineStr">
        <is>
          <t>review_gold_title</t>
        </is>
      </c>
      <c r="J1" s="3" t="inlineStr">
        <is>
          <t>review_gold_skills</t>
        </is>
      </c>
      <c r="K1" s="3" t="inlineStr">
        <is>
          <t>review_gold_bonus_skills</t>
        </is>
      </c>
      <c r="L1" s="3" t="inlineStr">
        <is>
          <t>review_gold_experience</t>
        </is>
      </c>
      <c r="M1" s="3" t="inlineStr">
        <is>
          <t>review_gold_education</t>
        </is>
      </c>
      <c r="N1" s="3" t="inlineStr">
        <is>
          <t>review_gold_core_duties</t>
        </is>
      </c>
      <c r="O1" s="3" t="inlineStr">
        <is>
          <t>review_status</t>
        </is>
      </c>
      <c r="P1" s="3" t="inlineStr">
        <is>
          <t>error_type</t>
        </is>
      </c>
      <c r="Q1" s="3" t="inlineStr">
        <is>
          <t>review_note</t>
        </is>
      </c>
      <c r="R1" s="4" t="inlineStr">
        <is>
          <t>annotator</t>
        </is>
      </c>
    </row>
    <row r="2" ht="145" customHeight="1" s="49">
      <c r="A2" s="5" t="inlineStr">
        <is>
          <t>jd_012</t>
        </is>
      </c>
      <c r="B2" s="6" t="inlineStr">
        <is>
          <t>zhilian</t>
        </is>
      </c>
      <c r="C2" s="6" t="inlineStr">
        <is>
          <t>CCL1480117890J40845576605</t>
        </is>
      </c>
      <c r="D2" s="7">
        <f>HYPERLINK("http://www.zhaopin.com/jobdetail/CCL1480117890J40845576605.htm?refcode=4019&amp;srccode=401903&amp;preactionid=831c9c60-741f-405b-952a-10f8e817b155","http://www.zhaopin.com/jobdetail/CCL1480117890J40845576605.htm?refcode=4019&amp;srccode=401903&amp;preactionid=831c9c60-741f-405b-952a-10f8e817b155")</f>
        <v/>
      </c>
      <c r="E2" s="8" t="inlineStr">
        <is>
          <t>全栈工程师（java，go，python，js，re）</t>
        </is>
      </c>
      <c r="F2" s="6" t="inlineStr">
        <is>
          <t>外企德科数字技术有限公司</t>
        </is>
      </c>
      <c r="G2" s="6" t="inlineStr">
        <is>
          <t>北京·朝阳</t>
        </is>
      </c>
      <c r="H2" s="6" t="inlineStr">
        <is>
          <t>岗位职责：
负责公司内部各系统开发，负责公司信息系统建设；
通过构建领先的信息系统，助力公司业务和组织的长期高效经营与发展；
在安全、隐私、合规层面持续治理，为公司的稳健发展保驾护航；覆盖人事、财务、法务、采购、审批、职场等多个领域的系统开发
任职要求：
1、统招本科学历以上，2年以上相关工作经验，计算机相关专业优先；985/211学历优先；
2、具备良好的计算机、软件工程等专业领域基础知识；
3、至少精通Java、python、golang中的一种；
4、有完整的项目开发经验，具备大型项目经验，erp经验等优先；
5、工作思路清晰，有较好的沟通能力和技术学习能力，拥有良好的编码习惯，有很强的自学能力和自我提高的愿望；</t>
        </is>
      </c>
      <c r="I2" s="6" t="inlineStr">
        <is>
          <t>全栈工程师</t>
        </is>
      </c>
      <c r="J2" s="9" t="inlineStr">
        <is>
          <t>["Java","Python","Go"]</t>
        </is>
      </c>
      <c r="K2" s="9" t="inlineStr">
        <is>
          <t>[]</t>
        </is>
      </c>
      <c r="L2" s="9" t="inlineStr">
        <is>
          <t>{"min_years":2,"max_years":null}</t>
        </is>
      </c>
      <c r="M2" s="9" t="inlineStr">
        <is>
          <t>本科</t>
        </is>
      </c>
      <c r="N2" s="9" t="inlineStr">
        <is>
          <t>["负责公司内部各系统开发及信息系统建设","通过信息系统支撑公司业务和组织高效经营与发展","持续开展安全、隐私和合规治理","负责人事、财务、法务、采购、审批、职场等领域的系统开发"]</t>
        </is>
      </c>
      <c r="O2" s="10" t="inlineStr"/>
      <c r="P2" s="10" t="inlineStr"/>
      <c r="Q2" s="10" t="inlineStr"/>
      <c r="R2" s="9" t="inlineStr">
        <is>
          <t>LQ</t>
        </is>
      </c>
    </row>
    <row r="3" ht="145" customHeight="1" s="49">
      <c r="A3" s="11" t="inlineStr">
        <is>
          <t>jd_030</t>
        </is>
      </c>
      <c r="B3" s="12" t="inlineStr">
        <is>
          <t>zhilian</t>
        </is>
      </c>
      <c r="C3" s="12" t="inlineStr">
        <is>
          <t>CC138117190J40879068905</t>
        </is>
      </c>
      <c r="D3" s="13">
        <f>HYPERLINK("http://www.zhaopin.com/jobdetail/CC138117190J40879068905.htm?refcode=4019&amp;srccode=401903&amp;preactionid=721a0763-20d6-421e-ac3f-17c75a8edee2","http://www.zhaopin.com/jobdetail/CC138117190J40879068905.htm?refcode=4019&amp;srccode=401903&amp;preactionid=721a0763-20d6-421e-ac3f-17c75a8edee2")</f>
        <v/>
      </c>
      <c r="E3" s="12" t="inlineStr">
        <is>
          <t>大模型评测工程师（音视频/AIGC/多模态）</t>
        </is>
      </c>
      <c r="F3" s="12" t="inlineStr">
        <is>
          <t>外企德科</t>
        </is>
      </c>
      <c r="G3" s="12" t="inlineStr">
        <is>
          <t>北京·海淀·上地</t>
        </is>
      </c>
      <c r="H3" s="14" t="inlineStr">
        <is>
          <t>职位描述
负责音视频生成大模型及相关方向算法、视频可控类编辑/参考的项目交付质量，包括设计准备完善数据集、标注质量质检、质量验收以及量化的分析评测报告输出；
1. 对音视频质量评估：对生成的音视频进行主观质量评估。包括视频能力（画质、美学、合理性、叙事、清晰度）、音频（自然度、音质、与视频内容的匹配度等），给出专业的主观评价意见；
2. 评测方案设计与执行：从专业的角度，参与制定并执行评测方案，及测试集的设计。负责对标注团队进行培训，把控标注质量和评测结论的准确性。
3. 评测数据整理与分析：对评测过程中产生的数据进行整理和分析，及时发现音频生成中存在的问题，形成评测报告，为项目团队提供有价值的专业参考信息和针对性的改进建议，协助优化模型效果。
4. 跟进行业主流竞品多模态生成/理解模型及行业能力变化，有敏锐的用户视角参与竞品调研、线上效果分析、算法效果分析、问题挖掘归因和行业评测探索，为模型迭代和项目决策提供参考。竞品包括但不限于seeddance、vidu、gemini-omni-flash、veo、hailuo、万相、runway等）
任职要求
1、本科及以上学历，数字媒体艺术、美术、设计、动画、影视编导、导演、摄影、技术美术；或技术方向计算机、人工智能、数据分析等相关专业优先
2、具备较好的审美判断力和视听语言理解能力，对音视频内容质量有较强判断力，熟悉视频画质、美学构图、镜头语言、叙事逻辑、运动合理性、音质、音色、节奏、音画匹配等评价维度。
3、对 AIGC 创作有实际经验，熟悉从创意构思、Prompt 设计、素材准备、模型生成、结果筛选、后期调整到成片交付的完整流程；有影视拍片项目经历、影视行业制作经验或全流程 AIGC 创作经验者优先。
4、深度使用过业界主流文生图、文生视频、多模态大模型或音频生成工具者优先，如即梦、Seedance、海螺、Nano Banana 等；有竞品评测经验，能够清晰分析不同模型的效果水位、优势短板和适用场景者优先。
5、有 AI 算法测试、数据标注、评测体系建设或标注 POC 经验者优先；对大模型、AIGC、多模态生成、视频生成等方向有较深入理解者优先。仅有纯执行型标注经验、缺少评测分析和标准建设能力者不优先。
6、具备较强的主观判断能力和结构化分析能力，能够将主观视听感受拆解并量化为客观评价标准，逻辑清晰、思维敏捷，善于分析总结，并能清楚表达自己的观点、判断依据和问题归因。
7、具备良好的数据敏感度、文档能力和跨团队沟通能力，能够输出评测方案、标注规范、质检报告、评测报告等材料，并与算法、产品、运营、标注团队高效协同。
8、具备优秀的快速学习能力、抗压能力和项目推进意识，能够适应多轮模型迭代、批量样本评测、紧急交付和复杂问题排查。
10、有代码编写经验优先，熟悉 Python、SQL、数据处理、自动化评测脚本、可视化分析，或具备基于 AI 工具提升数据处理和评测效率的能力者优先。</t>
        </is>
      </c>
      <c r="I3" s="12" t="inlineStr">
        <is>
          <t>大模型评测工程师</t>
        </is>
      </c>
      <c r="J3" s="12" t="inlineStr">
        <is>
          <t>["AIGC","大模型评测","数据分析"]</t>
        </is>
      </c>
      <c r="K3" s="12" t="inlineStr">
        <is>
          <t>["Python","SQL","自动化评测","数据可视化","数据标注","多模态模型"]</t>
        </is>
      </c>
      <c r="L3" s="12" t="inlineStr"/>
      <c r="M3" s="12" t="inlineStr">
        <is>
          <t>本科</t>
        </is>
      </c>
      <c r="N3" s="12" t="inlineStr">
        <is>
          <t>["负责音视频生成大模型项目的数据集、标注质检、质量验收和评测交付","开展生成音视频的主观质量评估","设计并执行评测方案和测试集并把控标注质量","整理分析评测数据并输出评测报告和改进建议","开展竞品调研、效果分析、问题归因和行业评测"]</t>
        </is>
      </c>
      <c r="O3" s="15" t="inlineStr"/>
      <c r="P3" s="15" t="inlineStr"/>
      <c r="Q3" s="15" t="inlineStr"/>
      <c r="R3" s="12" t="inlineStr">
        <is>
          <t>LQ</t>
        </is>
      </c>
    </row>
    <row r="4" ht="145" customHeight="1" s="49">
      <c r="A4" s="11" t="inlineStr">
        <is>
          <t>public_001</t>
        </is>
      </c>
      <c r="B4" s="12" t="inlineStr">
        <is>
          <t>zhilian</t>
        </is>
      </c>
      <c r="C4" s="12" t="inlineStr">
        <is>
          <t>CC246691810J40831043903</t>
        </is>
      </c>
      <c r="D4" s="13">
        <f>HYPERLINK("https://www.zhaopin.com/jobdetail/CC246691810J40831043903.htm","https://www.zhaopin.com/jobdetail/CC246691810J40831043903.htm")</f>
        <v/>
      </c>
      <c r="E4" s="12" t="inlineStr">
        <is>
          <t>python开发工程师</t>
        </is>
      </c>
      <c r="F4" s="12" t="inlineStr">
        <is>
          <t>北京博华信智科技股份有限公司</t>
        </is>
      </c>
      <c r="G4" s="12" t="inlineStr">
        <is>
          <t>北京 朝阳区</t>
        </is>
      </c>
      <c r="H4" s="12" t="inlineStr">
        <is>
          <t>岗位职责:
1.设计和开发基于Odoo的应用程序，以满足企业和组织的需求。
2.参与Odoo平台的定制开发，包括但不限于模块开发和系统集成。
3.优化现有Odoo应用的性能，提升用户体验。
4.与客户沟通，了解需求并提供专业的解决方案。
5.维护和支持Odoo开发项目，确保项目按时交付并符合质量标准。
任职要求：
1.具备扎实的Python开发能力，熟悉Odoo平台的开发环境。
2.具有良好的分析和问题解决能力，能够独立处理和优化代码。
3.良好的团队合作精神和沟通能力，能够与团队成员有效沟通。
4.对新技术有持续学习的意愿，能够快速掌握和应用新知识。
5.有责任心，能够在压力下保持高效的工作状态。</t>
        </is>
      </c>
      <c r="I4" s="12" t="inlineStr">
        <is>
          <t>Python开发工程师</t>
        </is>
      </c>
      <c r="J4" s="12" t="inlineStr">
        <is>
          <t>["Python","Odoo"]</t>
        </is>
      </c>
      <c r="K4" s="12" t="inlineStr">
        <is>
          <t>[]</t>
        </is>
      </c>
      <c r="L4" s="12" t="inlineStr"/>
      <c r="M4" s="12" t="inlineStr"/>
      <c r="N4" s="12" t="inlineStr">
        <is>
          <t>["设计开发基于Odoo的企业应用","开展Odoo模块定制开发和系统集成","优化Odoo应用性能和用户体验","分析客户需求并提供解决方案","维护支持Odoo项目并保障交付质量"]</t>
        </is>
      </c>
      <c r="O4" s="15" t="inlineStr"/>
      <c r="P4" s="15" t="inlineStr"/>
      <c r="Q4" s="15" t="inlineStr"/>
      <c r="R4" s="12" t="inlineStr">
        <is>
          <t>LQ</t>
        </is>
      </c>
    </row>
    <row r="5" ht="145" customHeight="1" s="49">
      <c r="A5" s="11" t="inlineStr">
        <is>
          <t>public_002</t>
        </is>
      </c>
      <c r="B5" s="12" t="inlineStr">
        <is>
          <t>zhilian</t>
        </is>
      </c>
      <c r="C5" s="12" t="inlineStr">
        <is>
          <t>CC000283190J40710167711</t>
        </is>
      </c>
      <c r="D5" s="13">
        <f>HYPERLINK("https://www.zhaopin.com/jobdetail/CC000283190J40710167711.htm","https://www.zhaopin.com/jobdetail/CC000283190J40710167711.htm")</f>
        <v/>
      </c>
      <c r="E5" s="12" t="inlineStr">
        <is>
          <t>测试工程师(J12078)</t>
        </is>
      </c>
      <c r="F5" s="12" t="inlineStr">
        <is>
          <t>江铃汽车股份有限公司</t>
        </is>
      </c>
      <c r="G5" s="12" t="inlineStr">
        <is>
          <t>南昌 南昌县</t>
        </is>
      </c>
      <c r="H5" s="12" t="inlineStr">
        <is>
          <t>岗位职责:
1、响应和支持项目中产生的各类测试需求，独立制定测试策略，规划测试周期，完成测试项目；
2、搭建自动化测试体系，对接口，APP，UI进行持续测试；
3、在功能测试过程中，对产品需求提出改善和优化意见，提升产品体验；
4、参与软件测试技术规范的改进和制定, 提升研发质量和测试效率。
任职要求:
1、本科及以上学历，计算机、软件等相关专业；
2、测试理论知识扎实，能够灵活运用各类策略和方法，保证测试覆盖；
3、熟悉软件开发、测试理论和流程；
4、熟悉B/S系统、Ｃ/S系统测试流程和方法，熟悉常用测试管理工具，如Jira、QC等；
5、熟练掌握至少一种编程语言，如Java/JavaScript/Python/Shell；
6、具备产品的需求解构能力，能有效开展未上线产品的体验和评测环节；
7、主动，好学，责任心强，具备良好的对外沟通和团队协作能力；
8、在某一测试领域如性能、自动化或者大数据测试等具备很强的专业技能者优先。</t>
        </is>
      </c>
      <c r="I5" s="12" t="inlineStr">
        <is>
          <t>测试工程师</t>
        </is>
      </c>
      <c r="J5" s="12" t="inlineStr">
        <is>
          <t>["软件测试","Jira","QC","Java","JavaScript","Python","Shell"]</t>
        </is>
      </c>
      <c r="K5" s="12" t="inlineStr">
        <is>
          <t>["性能测试","自动化测试","大数据测试"]</t>
        </is>
      </c>
      <c r="L5" s="12" t="inlineStr"/>
      <c r="M5" s="12" t="inlineStr">
        <is>
          <t>本科</t>
        </is>
      </c>
      <c r="N5" s="12" t="inlineStr">
        <is>
          <t>["响应测试需求并制定测试策略和测试计划","搭建接口、APP和UI自动化测试体系","执行功能测试并提出产品优化建议","参与测试技术规范制定和改进"]</t>
        </is>
      </c>
      <c r="O5" s="15" t="inlineStr"/>
      <c r="P5" s="15" t="inlineStr"/>
      <c r="Q5" s="15" t="inlineStr"/>
      <c r="R5" s="12" t="inlineStr">
        <is>
          <t>LQ</t>
        </is>
      </c>
    </row>
    <row r="6" ht="145" customHeight="1" s="49">
      <c r="A6" s="11" t="inlineStr">
        <is>
          <t>public_003</t>
        </is>
      </c>
      <c r="B6" s="12" t="inlineStr">
        <is>
          <t>zhilian</t>
        </is>
      </c>
      <c r="C6" s="12" t="inlineStr">
        <is>
          <t>CC625242220J40768042010</t>
        </is>
      </c>
      <c r="D6" s="13">
        <f>HYPERLINK("https://www.zhaopin.com/jobdetail/CC625242220J40768042010.htm","https://www.zhaopin.com/jobdetail/CC625242220J40768042010.htm")</f>
        <v/>
      </c>
      <c r="E6" s="12" t="inlineStr">
        <is>
          <t>算法工程师（拼多多集团）</t>
        </is>
      </c>
      <c r="F6" s="12" t="inlineStr">
        <is>
          <t>拼多多集团-PDD</t>
        </is>
      </c>
      <c r="G6" s="12" t="inlineStr">
        <is>
          <t>上海 长宁区</t>
        </is>
      </c>
      <c r="H6" s="12" t="inlineStr">
        <is>
          <t>岗位职责
1. 利用机器学习/深度学习技术/图计算技术，优化app内外搜索、推荐、广告、图像、风控、智能客服、平台治理等效果，提升数亿用户的购物体验和平台的变现效率；
2. 深入产品和业务，发现算法和机制中的不足，提出改进方案并且推动实现；
3. 跟踪业界和学术界最新进展，将理论成果应用到业务场景，提升业务效果。
任职要求
1. 2026届毕业生，硕士及以上学历，计算机相关专业，对算法有浓厚兴趣；
2. 具备强悍的编码能力，熟悉linux开发环境，熟悉TensorFlow、PyTorch、Hive优先；
3. 具备扎实的数据结构功底，熟悉机器学习、深度学习、图计算、自然语言处理、数据挖掘中一项或多项；
4. 对大语言模型、用户增长、搜索引擎、推荐系统、计算广告、图像、互联网风控、智能客服、平台治理等相关领域有经验者优先；
5. 具备较好的数理基础和逻辑分析能力，对解决具有挑战性的问题充满激情，具备较好的主动性和团队合作精神。</t>
        </is>
      </c>
      <c r="I6" s="12" t="inlineStr">
        <is>
          <t>算法工程师</t>
        </is>
      </c>
      <c r="J6" s="12" t="inlineStr">
        <is>
          <t>["Linux","机器学习","深度学习","图计算","自然语言处理","数据挖掘"]</t>
        </is>
      </c>
      <c r="K6" s="12" t="inlineStr">
        <is>
          <t>["TensorFlow","PyTorch","Hive","大语言模型","推荐算法","广告算法","风控算法","计算机视觉"]</t>
        </is>
      </c>
      <c r="L6" s="12" t="inlineStr"/>
      <c r="M6" s="12" t="inlineStr">
        <is>
          <t>硕士</t>
        </is>
      </c>
      <c r="N6" s="12" t="inlineStr">
        <is>
          <t>["利用机器学习、深度学习和图计算优化搜索、推荐、广告、图像、风控等业务效果","深入业务发现算法和机制问题并推动改进","跟踪业界和学术前沿并将研究成果应用于业务场景"]</t>
        </is>
      </c>
      <c r="O6" s="15" t="inlineStr"/>
      <c r="P6" s="15" t="inlineStr"/>
      <c r="Q6" s="15" t="inlineStr"/>
      <c r="R6" s="12" t="inlineStr">
        <is>
          <t>LQ</t>
        </is>
      </c>
    </row>
    <row r="7" ht="145" customHeight="1" s="49">
      <c r="A7" s="11" t="inlineStr">
        <is>
          <t>public_004</t>
        </is>
      </c>
      <c r="B7" s="12" t="inlineStr">
        <is>
          <t>zhilian</t>
        </is>
      </c>
      <c r="C7" s="12" t="inlineStr">
        <is>
          <t>CC621497980J40827742809</t>
        </is>
      </c>
      <c r="D7" s="13">
        <f>HYPERLINK("https://www.zhaopin.com/jobdetail/CC621497980J40827742809.htm","https://www.zhaopin.com/jobdetail/CC621497980J40827742809.htm")</f>
        <v/>
      </c>
      <c r="E7" s="12" t="inlineStr">
        <is>
          <t>运维工程师（杭州项目）</t>
        </is>
      </c>
      <c r="F7" s="12" t="inlineStr">
        <is>
          <t>八六三软件</t>
        </is>
      </c>
      <c r="G7" s="12" t="inlineStr">
        <is>
          <t>杭州 滨江区</t>
        </is>
      </c>
      <c r="H7" s="12" t="inlineStr">
        <is>
          <t>岗位职责：
1、负责公司软件平台的日常运维，保障平台稳定、高效运行。
2、负责容器化平台的搭建和维护，使用Kubernetes 进行容器编排和管理。
3、负责设计、搭建、维护、优化可观测性系统，包括监控、告警、日志等，提供高效的日志收集、存储、分析和查询能力，实现对平台运行状态的全面掌控。
4、负责自动化运维工具和平台的开发，提升运维效率。
5、负责编写和维护运维文档，包括操作手册、故障处理指南等，处理平台故障，进行问题排查和解决，并总结经验教训。
任职要求：
1、统招本科及以上学历，计算机相关专业优先。
2、具备运维工作3年以上工作经验，有云平台(AWS、Azure、GcP 等)、微服务架构运维经验优先。
3、熟悉 Linux 操作系统，具备扎实的 Shell/Python 脚本编写能力。
4、熟悉 Kubernetes 容器编排技术，具备丰富的实践经验。
5、熟悉 Prometheus、Grafana 等监控工具，具备可观测性系统搭建和维护经验。
6、熟悉 ELK/EEK 等日志系统，具备日志收集、分析和查询的实战经验。
7、熟悉常用的运维工具和技术，例如 Ansible、Jenkins、Git 等。
8、具备良好的问题分析和解决能力，能够独立处理复杂问题。
9、具备良好的沟通能力和团队合作精神，责任心强。</t>
        </is>
      </c>
      <c r="I7" s="16" t="inlineStr">
        <is>
          <t>运维工程师</t>
        </is>
      </c>
      <c r="J7" s="16" t="inlineStr">
        <is>
          <t>["Linux","Shell","Python","Kubernetes","Prometheus","Grafana","ELK","Ansible","Jenkins","Git"]</t>
        </is>
      </c>
      <c r="K7" s="16" t="inlineStr">
        <is>
          <t>["AWS","Azure","GCP","微服务架构运维"]</t>
        </is>
      </c>
      <c r="L7" s="16" t="inlineStr">
        <is>
          <t>{"min_years":3,"max_years":null}</t>
        </is>
      </c>
      <c r="M7" s="16" t="inlineStr">
        <is>
          <t>本科</t>
        </is>
      </c>
      <c r="N7" s="16" t="inlineStr">
        <is>
          <t>["负责软件平台日常运维并保障稳定运行","搭建和维护Kubernetes容器化平台","建设维护监控、告警和日志可观测性体系","开发自动化运维工具和平台","处理平台故障并维护运维文档"]</t>
        </is>
      </c>
      <c r="O7" s="15" t="inlineStr"/>
      <c r="P7" s="15" t="inlineStr"/>
      <c r="Q7" s="15" t="inlineStr"/>
      <c r="R7" s="16" t="inlineStr">
        <is>
          <t>LQ</t>
        </is>
      </c>
    </row>
    <row r="8" ht="145" customHeight="1" s="49">
      <c r="A8" s="11" t="inlineStr">
        <is>
          <t>public_005</t>
        </is>
      </c>
      <c r="B8" s="12" t="inlineStr">
        <is>
          <t>zhilian</t>
        </is>
      </c>
      <c r="C8" s="12" t="inlineStr">
        <is>
          <t>CCL1513903680J40913248715</t>
        </is>
      </c>
      <c r="D8" s="13">
        <f>HYPERLINK("https://www.zhaopin.com/jobdetail/CCL1513903680J40913248715.htm","https://www.zhaopin.com/jobdetail/CCL1513903680J40913248715.htm")</f>
        <v/>
      </c>
      <c r="E8" s="12" t="inlineStr">
        <is>
          <t>运维工程师</t>
        </is>
      </c>
      <c r="F8" s="12" t="inlineStr">
        <is>
          <t>杭州煜城教育科技有限公司</t>
        </is>
      </c>
      <c r="G8" s="12" t="inlineStr">
        <is>
          <t>深圳 南山区</t>
        </is>
      </c>
      <c r="H8" s="12" t="inlineStr">
        <is>
          <t>岗位职责:
1、负责公司内部网络设备及计算机系统(软件和硬件设备)的安装与日常维护，保障公司电脑运行管理;
2、机房管理:负责机房网络设备，服务器，空调，消防，UPS，机房环境等监控管理;
3、负责公司IT固定资产的维护管理工作，完善IT固定资产台账等;
4、及时响应用户日常桌面问题需求，收集日常桌面运维中遇到的常见问题并进行优化解决;
5、负责网络与服务器管理与环境监控;
任职要求:
1、大学本科及以上学历，计算机相关专业优先;
2、精通Windows/macOS系统维护;熟悉基本的网络技术，能对PC端网络问题进行快速定位和解决;
3、熟悉常用服务器设备及办公设备，具备故障诊断和处理能力;
4、熟练掌握office办公软件，有良好的文档编写能力;</t>
        </is>
      </c>
      <c r="I8" s="16" t="inlineStr">
        <is>
          <t>运维工程师</t>
        </is>
      </c>
      <c r="J8" s="16" t="inlineStr">
        <is>
          <t>["Windows","macOS","网络技术","服务器维护","故障诊断","Office"]</t>
        </is>
      </c>
      <c r="K8" s="16" t="inlineStr">
        <is>
          <t>[]</t>
        </is>
      </c>
      <c r="L8" s="16" t="inlineStr"/>
      <c r="M8" s="16" t="inlineStr">
        <is>
          <t>本科</t>
        </is>
      </c>
      <c r="N8" s="16" t="inlineStr">
        <is>
          <t>["负责网络设备和计算机软硬件安装及维护","负责机房网络、服务器、UPS及环境监控管理","维护IT固定资产及相关台账","响应并解决用户桌面运维问题","负责网络和服务器管理及环境监控"]</t>
        </is>
      </c>
      <c r="O8" s="15" t="inlineStr"/>
      <c r="P8" s="15" t="inlineStr"/>
      <c r="Q8" s="15" t="inlineStr"/>
      <c r="R8" s="16" t="inlineStr">
        <is>
          <t>LQ</t>
        </is>
      </c>
    </row>
    <row r="9" ht="145" customHeight="1" s="49">
      <c r="A9" s="11" t="inlineStr">
        <is>
          <t>public_006</t>
        </is>
      </c>
      <c r="B9" s="12" t="inlineStr">
        <is>
          <t>zhilian</t>
        </is>
      </c>
      <c r="C9" s="12" t="inlineStr">
        <is>
          <t>CCL1344028620J40762326112</t>
        </is>
      </c>
      <c r="D9" s="13">
        <f>HYPERLINK("https://www.zhaopin.com/jobdetail/CCL1344028620J40762326112.htm","https://www.zhaopin.com/jobdetail/CCL1344028620J40762326112.htm")</f>
        <v/>
      </c>
      <c r="E9" s="12" t="inlineStr">
        <is>
          <t>数据分析师(J10072)</t>
        </is>
      </c>
      <c r="F9" s="12" t="inlineStr">
        <is>
          <t>北京夏初科技集团有限公司</t>
        </is>
      </c>
      <c r="G9" s="12" t="inlineStr">
        <is>
          <t>北京 朝阳区</t>
        </is>
      </c>
      <c r="H9" s="12" t="inlineStr">
        <is>
          <t>岗位职责:
1、数据收集与整理：从公司内部业务系统、数据库以及外部数据源收集相关数据，对收集到的数据进行清洗、去重、转换等预处理工作，确保数据的准确性、完整性和一致性。
2、数据分析与挖掘：运用统计学方法、机器学习算法等对数据进行深入分析和挖掘，发现数据中的潜在规律和趋势，为业务决策提供数据依据。
3、报表与报告制作：根据业务需求，定期生成各类数据分析报表和可视化报告，如日报、周报、月报等，以直观的方式呈现数据结果和分析结论，使非技术人员也能轻松理解。
4、业务支持：与各业务部门紧密合作，深入了解业务需求和痛点，通过数据分析为业务部门提供针对性的解决方案和建议，助力业务优化和提升。
5、数据监测与预警：建立数据监测体系，实时监控关键业务指标，及时发现数据异常波动并发出预警，协助业务部门快速响应和解决问题。
6、数据模型构建：根据业务需求和数据特点，构建数据分析模型，如预测模型、用户画像模型等，为公司业务发展提供前瞻性的数据分析和预测。
任职要求:
1、统计学、数学、计算机科学、信息管理等相关专业优先。
2、获得相关数据分析认证，如 CPDA（Certified Professional Data Analyst）、CDA（Certified Data Analyst）等优先
3、有参与过大型数据分析项目经验者优先，具备良好的沟通能力，能够与不同部门、不同层级人员进行有效的沟通与协作，准确理解业务需求并传达数据分析结果。
4、具备一定的项目管理能力，能够合理安排数据分析项目的进度和资源，确保项目按时完成。
5、精通统计学、数学基础，熟练掌握数据分析方法和工具，具备较强的逻辑思维能力和问题解决能力。</t>
        </is>
      </c>
      <c r="I9" s="16" t="inlineStr">
        <is>
          <t>数据分析师</t>
        </is>
      </c>
      <c r="J9" s="16" t="inlineStr">
        <is>
          <t>["统计学","数据分析","机器学习","数据可视化","数据建模","项目管理"]</t>
        </is>
      </c>
      <c r="K9" s="16" t="inlineStr">
        <is>
          <t>[]</t>
        </is>
      </c>
      <c r="L9" s="16" t="inlineStr"/>
      <c r="M9" s="16" t="inlineStr"/>
      <c r="N9" s="16" t="inlineStr">
        <is>
          <t>["收集、清洗、去重和转换业务数据","开展统计分析和数据挖掘并发现规律趋势","制作数据分析报表和可视化报告","建立业务指标监测和异常预警体系","构建预测模型、用户画像等数据分析模型"]</t>
        </is>
      </c>
      <c r="O9" s="15" t="inlineStr"/>
      <c r="P9" s="15" t="inlineStr"/>
      <c r="Q9" s="15" t="inlineStr"/>
      <c r="R9" s="16" t="inlineStr">
        <is>
          <t>LQ</t>
        </is>
      </c>
    </row>
    <row r="10" ht="145" customHeight="1" s="49">
      <c r="A10" s="11" t="inlineStr">
        <is>
          <t>public_007</t>
        </is>
      </c>
      <c r="B10" s="12" t="inlineStr">
        <is>
          <t>zhilian</t>
        </is>
      </c>
      <c r="C10" s="12" t="inlineStr">
        <is>
          <t>CC413091930J40792330703</t>
        </is>
      </c>
      <c r="D10" s="13">
        <f>HYPERLINK("https://www.zhaopin.com/jobdetail/CC413091930J40792330703.htm","https://www.zhaopin.com/jobdetail/CC413091930J40792330703.htm")</f>
        <v/>
      </c>
      <c r="E10" s="12" t="inlineStr">
        <is>
          <t>大模型算法工程师</t>
        </is>
      </c>
      <c r="F10" s="12" t="inlineStr">
        <is>
          <t>湖南博匠信息科技有限公司</t>
        </is>
      </c>
      <c r="G10" s="12" t="inlineStr">
        <is>
          <t>长沙 岳麓区</t>
        </is>
      </c>
      <c r="H10" s="12" t="inlineStr">
        <is>
          <t>岗位职责
1、参与行业基础大模型的算法设计、开发、优化及落地，解决实际业务问题。
2、与业务团队紧密合作，理解需求并抽象为可建模的算法问题，输出解决方案。
3、跟踪前沿算法技术（如大模型、深度学习、强化学习等），探索其在业务中的应用场景。
4、参与大模型相关的技术开发，包括但不限于模型架构设计、模型融合、模型微调等。
任职要求
1、211/985院校或国际知名高校，数学、计算机、统计、电子信息等相关专业，本科及以上学历。
2、扎实的算法基础，熟悉机器学习（LR、GBDT等）、深度学习（CNN、RNN、Transformer等）核心算法；熟练使用Python，熟悉至少一种深度学习框架（TensorFlow/PyTorch）；具备良好的数据处理能力，熟练使用SQL/Pandas/Spark/ES等工具；熟练掌握常见算法落地流程，包括特征工程、模型评估、AB测试等。
3、1年以上算法相关经验，有实习或项目经历者优先；接触过大模型（如LLM、多模态模型）相关技术，包括底层架构、优化训练、微调或应用开发；具备使用国产算力进行研发的经验者优先。
4、逻辑清晰，具备较强的数学建模和问题拆解能力；良好的沟通能力和团队协作意识，能快速理解业务需求；对技术有热情，学习能力强，能适应快速迭代的业务环境。</t>
        </is>
      </c>
      <c r="I10" s="16" t="inlineStr">
        <is>
          <t>大模型算法工程师</t>
        </is>
      </c>
      <c r="J10" s="16" t="inlineStr">
        <is>
          <t>["机器学习","深度学习","Python","TensorFlow","PyTorch","SQL","Pandas","Spark","Elasticsearch","特征工程","模型评估","A/B测试","大语言模型","多模态模型"]</t>
        </is>
      </c>
      <c r="K10" s="16" t="inlineStr">
        <is>
          <t>["国产算力研发"]</t>
        </is>
      </c>
      <c r="L10" s="16" t="inlineStr">
        <is>
          <t>{"min_years":1,"max_years":null}</t>
        </is>
      </c>
      <c r="M10" s="16" t="inlineStr">
        <is>
          <t>本科</t>
        </is>
      </c>
      <c r="N10" s="16" t="inlineStr">
        <is>
          <t>["参与行业基础大模型算法设计、开发、优化和落地","将业务需求抽象为算法问题并输出解决方案","跟踪大模型、深度学习、强化学习等前沿技术","参与模型架构设计、模型融合和模型微调"]</t>
        </is>
      </c>
      <c r="O10" s="15" t="inlineStr"/>
      <c r="P10" s="15" t="inlineStr"/>
      <c r="Q10" s="15" t="inlineStr">
        <is>
          <t>| 口径修订 08-14：round1 归并（大模型算法→算法工程师）与 round2 终审口径（细分保留）不一致，按 r2_003 先例改为细分名</t>
        </is>
      </c>
      <c r="R10" s="16" t="inlineStr">
        <is>
          <t>LQ</t>
        </is>
      </c>
    </row>
    <row r="11" ht="145" customHeight="1" s="49">
      <c r="A11" s="11" t="inlineStr">
        <is>
          <t>public_008</t>
        </is>
      </c>
      <c r="B11" s="12" t="inlineStr">
        <is>
          <t>zhilian</t>
        </is>
      </c>
      <c r="C11" s="12" t="inlineStr">
        <is>
          <t>CC161678510J40830577714</t>
        </is>
      </c>
      <c r="D11" s="13">
        <f>HYPERLINK("https://www.zhaopin.com/jobdetail/CC161678510J40830577714.htm","https://www.zhaopin.com/jobdetail/CC161678510J40830577714.htm")</f>
        <v/>
      </c>
      <c r="E11" s="12" t="inlineStr">
        <is>
          <t>大模型算法工程师</t>
        </is>
      </c>
      <c r="F11" s="12" t="inlineStr">
        <is>
          <t>京东方科技集团股份有限公司</t>
        </is>
      </c>
      <c r="G11" s="12" t="inlineStr">
        <is>
          <t>北京 大兴区</t>
        </is>
      </c>
      <c r="H11" s="12" t="inlineStr">
        <is>
          <t>岗位职责：
1. 构建基于大模型的智能数据分析引擎，提供工厂数据的智能数据分析能力；
2. 构建企业运营智能体应用，提供多模态知识问答、多模态报告生成能力；
3. 探索大模型在知识问答、图表理解、报告拆解、数据联动方面的应用；
4. 结合BOE终端产品、业务线的实际需求，开发通用AI工作流，搭建多智能体（Multi-Agent）应用框架；
任职要求：
1.工作经验2年以上，具有自然语言处理、语音交互、计算机视觉或者深度学习相关专业硕士以上学历；可熟练使用python、C++；:具有一定的抗压能力；
2.具备扎实的LLM相关理论知识，熟悉大模型的微调(Lora）、增量预训练、对齐以及部署加速等相关知识，具备实操能力；
3.熟悉DeepSeek/Qwen等主流大模型，等熟悉Pytorch，DeepSpeed、Megatron主流的深度学习训练框架，熟悉常用的大模型加速推理框架(vLLM，TensorRT-LLM)；；
4.熟悉大模型在产品化过程中的推理、调优、量化、封装、部署等常见技术问题及解决方案；
5.有基于大模型的ChatBI/Agent/RAG等落地应用项目开发经验者加分，有多模态大模型训练经验者加分。</t>
        </is>
      </c>
      <c r="I11" s="16" t="inlineStr">
        <is>
          <t>大模型算法工程师</t>
        </is>
      </c>
      <c r="J11" s="16" t="inlineStr">
        <is>
          <t>["Python", "C++", "大语言模型", "LoRA", "增量预训练", "模型对齐", "PyTorch", "DeepSpeed", "Megatron", "vLLM", "TensorRT-LLM", "模型量化", "模型部署", "自然语言处理", "语音交互", "计算机视觉", "深度学习", "DeepSeek", "Qwen"]</t>
        </is>
      </c>
      <c r="K11" s="16" t="inlineStr">
        <is>
          <t>["ChatBI","Agentic AI","检索增强生成","多模态模型"]</t>
        </is>
      </c>
      <c r="L11" s="16" t="inlineStr">
        <is>
          <t>{"min_years":2,"max_years":null}</t>
        </is>
      </c>
      <c r="M11" s="16" t="inlineStr">
        <is>
          <t>硕士</t>
        </is>
      </c>
      <c r="N11" s="16" t="inlineStr">
        <is>
          <t>["构建基于大模型的智能数据分析引擎","构建企业运营智能体及多模态知识问答和报告生成应用","探索大模型在知识问答、图表理解、报告拆解和数据联动中的应用","开发通用AI工作流并搭建Multi-Agent应用框架"]</t>
        </is>
      </c>
      <c r="O11" s="15" t="inlineStr"/>
      <c r="P11" s="15" t="inlineStr"/>
      <c r="Q11" s="15" t="inlineStr">
        <is>
          <t>| 口径修订 08-14：round1 归并（大模型算法→算法工程师）与 round2 终审口径（细分保留）不一致，按 r2_003 先例改为细分名</t>
        </is>
      </c>
      <c r="R11" s="16" t="inlineStr">
        <is>
          <t>LQ</t>
        </is>
      </c>
    </row>
    <row r="12" ht="145" customHeight="1" s="49">
      <c r="A12" s="11" t="inlineStr">
        <is>
          <t>public_009</t>
        </is>
      </c>
      <c r="B12" s="12" t="inlineStr">
        <is>
          <t>zhilian</t>
        </is>
      </c>
      <c r="C12" s="12" t="inlineStr">
        <is>
          <t>CC231729210J40594294301</t>
        </is>
      </c>
      <c r="D12" s="13">
        <f>HYPERLINK("https://www.zhaopin.com/jobdetail/CC231729210J40594294301.htm","https://www.zhaopin.com/jobdetail/CC231729210J40594294301.htm")</f>
        <v/>
      </c>
      <c r="E12" s="12" t="inlineStr">
        <is>
          <t>数据工程师</t>
        </is>
      </c>
      <c r="F12" s="12" t="inlineStr">
        <is>
          <t>中富通</t>
        </is>
      </c>
      <c r="G12" s="12" t="inlineStr">
        <is>
          <t>上海 杨浦区</t>
        </is>
      </c>
      <c r="H12" s="12" t="inlineStr">
        <is>
          <t>岗位职责：
1、制定和执行数据产品的战略规划，确定数据产品的愿景、目标和路线图。理解市场需求和竞争环境，将其转化为数据产品的关键特性和功能。
2、与业务部门、数据科学家和技术团队合作，收集和分析用户需求，定义数据产品的功能和规格。确保数据产品能够满足用户的期望和业务需求。
3、制定数据产品的开发计划和优先级，确保按时交付高质量的产品。根据市场需求和业务优先级，制定产品发布计划和里程碑。
4、与数据科学家、工程师、设计师、市场营销团队和运营团队等跨部门团队密切合作。协调各团队的工作，确保数据产品的顺利开发、测试和上线。
5、关注用户体验，确保数据产品的易用性和用户友好性。与设计师合作，制定用户界面和交互设计，提供优化建议和反馈。
6、定义数据产品的关键性能指标和数据追踪方案。监测和分析产品的使用情况和效果，提供数据驱动的决策支持和产品改进建议
任职资格：
1、具备计算机科学、数据科学、商业管理或相关领域的学士或硕士学位，至少3年以上的相关经验；
2、熟练掌握Html/JavaScript/CSS、以及AngularJS、Jquery等前台开发框架；
2、熟练掌握常见Linux 命令，Scala/Python/shell/perl 中的一种或更多开发语言；
3、有大数据Hadoop/HBase/Flume/Kafka/Flink/Hive/Spark等开源大数据技术相关经验。</t>
        </is>
      </c>
      <c r="I12" s="16" t="inlineStr">
        <is>
          <t>数据产品经理</t>
        </is>
      </c>
      <c r="J12" s="16" t="inlineStr">
        <is>
          <t>["Linux", "Scala", "Python", "Shell", "Perl", "Hadoop", "HBase", "Flume", "Kafka", "Flink", "Hive", "Spark", "需求分析", "数据分析", "项目管理"]</t>
        </is>
      </c>
      <c r="K12" s="16" t="inlineStr">
        <is>
          <t>[]</t>
        </is>
      </c>
      <c r="L12" s="16" t="inlineStr">
        <is>
          <t>{"min_years":3,"max_years":null}</t>
        </is>
      </c>
      <c r="M12" s="16" t="inlineStr">
        <is>
          <t>本科</t>
        </is>
      </c>
      <c r="N12" s="16" t="inlineStr">
        <is>
          <t>["制定数据产品战略规划、目标和路线图","收集分析用户需求并定义数据产品功能和规格","制定开发计划、优先级及发布里程碑","协调跨部门团队完成产品开发、测试和上线","定义产品指标并通过数据分析持续优化产品"]</t>
        </is>
      </c>
      <c r="O12" s="15" t="inlineStr"/>
      <c r="P12" s="15" t="inlineStr"/>
      <c r="Q12" s="15" t="inlineStr"/>
      <c r="R12" s="16" t="inlineStr">
        <is>
          <t>LQ</t>
        </is>
      </c>
    </row>
    <row r="13" ht="145" customHeight="1" s="49">
      <c r="A13" s="17" t="inlineStr">
        <is>
          <t>public_010</t>
        </is>
      </c>
      <c r="B13" s="18" t="inlineStr">
        <is>
          <t>zhilian</t>
        </is>
      </c>
      <c r="C13" s="18" t="inlineStr">
        <is>
          <t>CC385622410J40778876906</t>
        </is>
      </c>
      <c r="D13" s="19">
        <f>HYPERLINK("https://www.zhaopin.com/jobdetail/CC385622410J40778876906.htm","https://www.zhaopin.com/jobdetail/CC385622410J40778876906.htm")</f>
        <v/>
      </c>
      <c r="E13" s="18" t="inlineStr">
        <is>
          <t>运维工程师</t>
        </is>
      </c>
      <c r="F13" s="18" t="inlineStr">
        <is>
          <t>法本信息</t>
        </is>
      </c>
      <c r="G13" s="18" t="inlineStr">
        <is>
          <t>海口 美兰区</t>
        </is>
      </c>
      <c r="H13" s="18" t="inlineStr">
        <is>
          <t>岗位职责
负责系统功能验证、系统初始化及运行支持，系统使用培训、材料编写。
负责系统日常维护，开展应用、数据库及作业的问题处理。
负责系统作业的申请、系统作业的发布配置部署工作，配合开发开展问题排查。
负责接收咨询反馈的数据需求授权、问题处理。
负责数据供给链接排查及传递数据采集处理，相关台账梳理，保障常规数据稳定性。
任职要求
1年及以上工作经验。
熟悉南方电网基建、计量、营销等项目实施推广经验的优先。
熟悉掌握南方数据中心工具优先。
具备基本的电网业务知识，了解安全生产及项目管理等相关电网业务。
具备系统日常运维、统一部署、监控管理、性能优化、问题分析、故障处置的相关能力。</t>
        </is>
      </c>
      <c r="I13" s="16" t="inlineStr">
        <is>
          <t>运维工程师</t>
        </is>
      </c>
      <c r="J13" s="16" t="inlineStr">
        <is>
          <t>["系统运维","系统部署","监控管理","性能优化","问题分析","故障处理","电网业务知识"]</t>
        </is>
      </c>
      <c r="K13" s="16" t="inlineStr">
        <is>
          <t>["南方电网项目实施","南方数据中心工具"]</t>
        </is>
      </c>
      <c r="L13" s="16" t="inlineStr">
        <is>
          <t>{"min_years":1,"max_years":null}</t>
        </is>
      </c>
      <c r="M13" s="16" t="inlineStr"/>
      <c r="N13" s="16" t="inlineStr">
        <is>
          <t>["负责系统功能验证、初始化、运行支持和用户培训","负责应用、数据库和系统作业日常维护","负责系统作业发布、配置部署并配合开发排查问题","处理咨询反馈、数据需求授权和问题处置","排查数据供给链路并保障常规数据稳定"]</t>
        </is>
      </c>
      <c r="O13" s="20" t="inlineStr"/>
      <c r="P13" s="20" t="inlineStr"/>
      <c r="Q13" s="20" t="inlineStr"/>
      <c r="R13" s="16" t="inlineStr">
        <is>
          <t>LQ</t>
        </is>
      </c>
    </row>
  </sheetData>
  <dataValidations count="1">
    <dataValidation sqref="O2:O13" showDropDown="0" showInputMessage="0" showErrorMessage="0" allowBlank="0" type="list">
      <formula1>"正确,部分错误,明显错误,原文不足无法判断"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2026-08-08T05:13:44Z</dcterms:created>
  <dcterms:modified xmlns:dcterms="http://purl.org/dc/terms/" xmlns:xsi="http://www.w3.org/2001/XMLSchema-instance" xsi:type="dcterms:W3CDTF">2026-08-16T13:18:48Z</dcterms:modified>
  <cp:lastModifiedBy>67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667D271C0E1F4A60A769371EE3B7B382_12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