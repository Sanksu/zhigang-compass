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合并盲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sheetData>
    <row r="1">
      <c r="A1" t="inlineStr">
        <is>
          <t>sample_id</t>
        </is>
      </c>
      <c r="B1" t="inlineStr">
        <is>
          <t>source</t>
        </is>
      </c>
      <c r="C1" t="inlineStr">
        <is>
          <t>source_id</t>
        </is>
      </c>
      <c r="D1" t="inlineStr">
        <is>
          <t>source_url</t>
        </is>
      </c>
      <c r="E1" t="inlineStr">
        <is>
          <t>job_title_raw</t>
        </is>
      </c>
      <c r="F1" t="inlineStr">
        <is>
          <t>company</t>
        </is>
      </c>
      <c r="G1" t="inlineStr">
        <is>
          <t>location</t>
        </is>
      </c>
      <c r="H1" t="inlineStr">
        <is>
          <t>detail_raw_text</t>
        </is>
      </c>
      <c r="I1" t="inlineStr">
        <is>
          <t>current_gold_title</t>
        </is>
      </c>
      <c r="J1" t="inlineStr">
        <is>
          <t>review_gold_title</t>
        </is>
      </c>
      <c r="K1" t="inlineStr">
        <is>
          <t>current_gold_skills</t>
        </is>
      </c>
      <c r="L1" t="inlineStr">
        <is>
          <t>review_gold_skills</t>
        </is>
      </c>
      <c r="M1" t="inlineStr">
        <is>
          <t>current_gold_bonus_skills</t>
        </is>
      </c>
      <c r="N1" t="inlineStr">
        <is>
          <t>review_gold_bonus_skills</t>
        </is>
      </c>
      <c r="O1" t="inlineStr">
        <is>
          <t>current_gold_experience</t>
        </is>
      </c>
      <c r="P1" t="inlineStr">
        <is>
          <t>review_gold_experience</t>
        </is>
      </c>
      <c r="Q1" t="inlineStr">
        <is>
          <t>current_gold_education</t>
        </is>
      </c>
      <c r="R1" t="inlineStr">
        <is>
          <t>review_gold_education</t>
        </is>
      </c>
      <c r="S1" t="inlineStr">
        <is>
          <t>current_gold_core_duties</t>
        </is>
      </c>
      <c r="T1" t="inlineStr">
        <is>
          <t>review_gold_core_duties</t>
        </is>
      </c>
      <c r="U1" t="inlineStr">
        <is>
          <t>review_status</t>
        </is>
      </c>
      <c r="V1" t="inlineStr">
        <is>
          <t>error_type</t>
        </is>
      </c>
      <c r="W1" t="inlineStr">
        <is>
          <t>review_note</t>
        </is>
      </c>
      <c r="X1" t="inlineStr">
        <is>
          <t>annotator</t>
        </is>
      </c>
    </row>
    <row r="2">
      <c r="A2" t="inlineStr">
        <is>
          <t>jd_012</t>
        </is>
      </c>
      <c r="B2" t="inlineStr">
        <is>
          <t>zhilian</t>
        </is>
      </c>
      <c r="C2" t="inlineStr">
        <is>
          <t>CCL1480117890J40845576605</t>
        </is>
      </c>
      <c r="D2">
        <f>HYPERLINK("http://www.zhaopin.com/jobdetail/CCL1480117890J40845576605.htm?refcode=4019&amp;srccode=401903&amp;preactionid=831c9c60-741f-405b-952a-10f8e817b155","http://www.zhaopin.com/jobdetail/CCL1480117890J40845576605.htm?refcode=4019&amp;srccode=401903&amp;preactionid=831c9c60-741f-405b-952a-10f8e817b155")</f>
        <v/>
      </c>
      <c r="E2" t="inlineStr">
        <is>
          <t>全栈工程师（java，go，python，js，re）</t>
        </is>
      </c>
      <c r="F2" t="inlineStr">
        <is>
          <t>外企德科数字技术有限公司</t>
        </is>
      </c>
      <c r="G2" t="inlineStr">
        <is>
          <t>北京·朝阳</t>
        </is>
      </c>
      <c r="H2" t="inlineStr">
        <is>
          <t>岗位职责：
负责公司内部各系统开发，负责公司信息系统建设；
通过构建领先的信息系统，助力公司业务和组织的长期高效经营与发展；
在安全、隐私、合规层面持续治理，为公司的稳健发展保驾护航；覆盖人事、财务、法务、采购、审批、职场等多个领域的系统开发
任职要求：
1、统招本科学历以上，2年以上相关工作经验，计算机相关专业优先；985/211学历优先；
2、具备良好的计算机、软件工程等专业领域基础知识；
3、至少精通Java、python、golang中的一种；
4、有完整的项目开发经验，具备大型项目经验，erp经验等优先；
5、工作思路清晰，有较好的沟通能力和技术学习能力，拥有良好的编码习惯，有很强的自学能力和自我提高的愿望；</t>
        </is>
      </c>
      <c r="I2" t="inlineStr"/>
      <c r="J2" t="inlineStr">
        <is>
          <t>全栈工程师</t>
        </is>
      </c>
      <c r="K2" t="inlineStr"/>
      <c r="L2" t="inlineStr">
        <is>
          <t>["Java","Python","Go"]</t>
        </is>
      </c>
      <c r="M2" t="inlineStr"/>
      <c r="N2" t="inlineStr">
        <is>
          <t>[]</t>
        </is>
      </c>
      <c r="O2" t="inlineStr"/>
      <c r="P2" t="inlineStr">
        <is>
          <t>{"min_years":2,"max_years":null}</t>
        </is>
      </c>
      <c r="Q2" t="inlineStr"/>
      <c r="R2" t="inlineStr">
        <is>
          <t>本科</t>
        </is>
      </c>
      <c r="S2" t="inlineStr"/>
      <c r="T2" t="inlineStr">
        <is>
          <t>["负责公司内部各系统开发及信息系统建设","通过信息系统支撑公司业务和组织高效经营与发展","持续开展安全、隐私和合规治理","负责人事、财务、法务、采购、审批、职场等领域的系统开发"]</t>
        </is>
      </c>
      <c r="U2" t="inlineStr"/>
      <c r="V2" t="inlineStr"/>
      <c r="W2" t="inlineStr"/>
      <c r="X2" t="inlineStr">
        <is>
          <t>LQ</t>
        </is>
      </c>
    </row>
    <row r="3">
      <c r="A3" t="inlineStr">
        <is>
          <t>jd_030</t>
        </is>
      </c>
      <c r="B3" t="inlineStr">
        <is>
          <t>zhilian</t>
        </is>
      </c>
      <c r="C3" t="inlineStr">
        <is>
          <t>CC138117190J40879068905</t>
        </is>
      </c>
      <c r="D3">
        <f>HYPERLINK("http://www.zhaopin.com/jobdetail/CC138117190J40879068905.htm?refcode=4019&amp;srccode=401903&amp;preactionid=721a0763-20d6-421e-ac3f-17c75a8edee2","http://www.zhaopin.com/jobdetail/CC138117190J40879068905.htm?refcode=4019&amp;srccode=401903&amp;preactionid=721a0763-20d6-421e-ac3f-17c75a8edee2")</f>
        <v/>
      </c>
      <c r="E3" t="inlineStr">
        <is>
          <t>大模型评测工程师（音视频/AIGC/多模态）</t>
        </is>
      </c>
      <c r="F3" t="inlineStr">
        <is>
          <t>外企德科</t>
        </is>
      </c>
      <c r="G3" t="inlineStr">
        <is>
          <t>北京·海淀·上地</t>
        </is>
      </c>
      <c r="H3" t="inlineStr">
        <is>
          <t>职位描述
负责音视频生成大模型及相关方向算法、视频可控类编辑/参考的项目交付质量，包括设计准备完善数据集、标注质量质检、质量验收以及量化的分析评测报告输出；
1. 对音视频质量评估：对生成的音视频进行主观质量评估。包括视频能力（画质、美学、合理性、叙事、清晰度）、音频（自然度、音质、与视频内容的匹配度等），给出专业的主观评价意见；
2. 评测方案设计与执行：从专业的角度，参与制定并执行评测方案，及测试集的设计。负责对标注团队进行培训，把控标注质量和评测结论的准确性。
3. 评测数据整理与分析：对评测过程中产生的数据进行整理和分析，及时发现音频生成中存在的问题，形成评测报告，为项目团队提供有价值的专业参考信息和针对性的改进建议，协助优化模型效果。
4. 跟进行业主流竞品多模态生成/理解模型及行业能力变化，有敏锐的用户视角参与竞品调研、线上效果分析、算法效果分析、问题挖掘归因和行业评测探索，为模型迭代和项目决策提供参考。竞品包括但不限于seeddance、vidu、gemini-omni-flash、veo、hailuo、万相、runway等）
任职要求
1、本科及以上学历，数字媒体艺术、美术、设计、动画、影视编导、导演、摄影、技术美术；或技术方向计算机、人工智能、数据分析等相关专业优先
2、具备较好的审美判断力和视听语言理解能力，对音视频内容质量有较强判断力，熟悉视频画质、美学构图、镜头语言、叙事逻辑、运动合理性、音质、音色、节奏、音画匹配等评价维度。
3、对 AIGC 创作有实际经验，熟悉从创意构思、Prompt 设计、素材准备、模型生成、结果筛选、后期调整到成片交付的完整流程；有影视拍片项目经历、影视行业制作经验或全流程 AIGC 创作经验者优先。
4、深度使用过业界主流文生图、文生视频、多模态大模型或音频生成工具者优先，如即梦、Seedance、海螺、Nano Banana 等；有竞品评测经验，能够清晰分析不同模型的效果水位、优势短板和适用场景者优先。
5、有 AI 算法测试、数据标注、评测体系建设或标注 POC 经验者优先；对大模型、AIGC、多模态生成、视频生成等方向有较深入理解者优先。仅有纯执行型标注经验、缺少评测分析和标准建设能力者不优先。
6、具备较强的主观判断能力和结构化分析能力，能够将主观视听感受拆解并量化为客观评价标准，逻辑清晰、思维敏捷，善于分析总结，并能清楚表达自己的观点、判断依据和问题归因。
7、具备良好的数据敏感度、文档能力和跨团队沟通能力，能够输出评测方案、标注规范、质检报告、评测报告等材料，并与算法、产品、运营、标注团队高效协同。
8、具备优秀的快速学习能力、抗压能力和项目推进意识，能够适应多轮模型迭代、批量样本评测、紧急交付和复杂问题排查。
10、有代码编写经验优先，熟悉 Python、SQL、数据处理、自动化评测脚本、可视化分析，或具备基于 AI 工具提升数据处理和评测效率的能力者优先。</t>
        </is>
      </c>
      <c r="I3" t="inlineStr"/>
      <c r="J3" t="inlineStr">
        <is>
          <t>大模型评测工程师</t>
        </is>
      </c>
      <c r="K3" t="inlineStr"/>
      <c r="L3" t="inlineStr">
        <is>
          <t>["AIGC","大模型评测","数据分析"]</t>
        </is>
      </c>
      <c r="M3" t="inlineStr"/>
      <c r="N3" t="inlineStr">
        <is>
          <t>["Python","SQL","自动化评测","数据可视化","数据标注","多模态模型"]</t>
        </is>
      </c>
      <c r="O3" t="inlineStr"/>
      <c r="P3" t="inlineStr"/>
      <c r="Q3" t="inlineStr"/>
      <c r="R3" t="inlineStr">
        <is>
          <t>本科</t>
        </is>
      </c>
      <c r="S3" t="inlineStr"/>
      <c r="T3" t="inlineStr">
        <is>
          <t>["负责音视频生成大模型项目的数据集、标注质检、质量验收和评测交付","开展生成音视频的主观质量评估","设计并执行评测方案和测试集并把控标注质量","整理分析评测数据并输出评测报告和改进建议","开展竞品调研、效果分析、问题归因和行业评测"]</t>
        </is>
      </c>
      <c r="U3" t="inlineStr"/>
      <c r="V3" t="inlineStr"/>
      <c r="W3" t="inlineStr"/>
      <c r="X3" t="inlineStr">
        <is>
          <t>LQ</t>
        </is>
      </c>
    </row>
    <row r="4">
      <c r="A4" t="inlineStr">
        <is>
          <t>public_001</t>
        </is>
      </c>
      <c r="B4" t="inlineStr">
        <is>
          <t>zhilian</t>
        </is>
      </c>
      <c r="C4" t="inlineStr">
        <is>
          <t>CC246691810J40831043903</t>
        </is>
      </c>
      <c r="D4">
        <f>HYPERLINK("https://www.zhaopin.com/jobdetail/CC246691810J40831043903.htm","https://www.zhaopin.com/jobdetail/CC246691810J40831043903.htm")</f>
        <v/>
      </c>
      <c r="E4" t="inlineStr">
        <is>
          <t>python开发工程师</t>
        </is>
      </c>
      <c r="F4" t="inlineStr">
        <is>
          <t>北京博华信智科技股份有限公司</t>
        </is>
      </c>
      <c r="G4" t="inlineStr">
        <is>
          <t>北京 朝阳区</t>
        </is>
      </c>
      <c r="H4" t="inlineStr">
        <is>
          <t>岗位职责:
1.设计和开发基于Odoo的应用程序，以满足企业和组织的需求。
2.参与Odoo平台的定制开发，包括但不限于模块开发和系统集成。
3.优化现有Odoo应用的性能，提升用户体验。
4.与客户沟通，了解需求并提供专业的解决方案。
5.维护和支持Odoo开发项目，确保项目按时交付并符合质量标准。
任职要求：
1.具备扎实的Python开发能力，熟悉Odoo平台的开发环境。
2.具有良好的分析和问题解决能力，能够独立处理和优化代码。
3.良好的团队合作精神和沟通能力，能够与团队成员有效沟通。
4.对新技术有持续学习的意愿，能够快速掌握和应用新知识。
5.有责任心，能够在压力下保持高效的工作状态。</t>
        </is>
      </c>
      <c r="I4" t="inlineStr"/>
      <c r="J4" t="inlineStr">
        <is>
          <t>Python开发工程师</t>
        </is>
      </c>
      <c r="K4" t="inlineStr"/>
      <c r="L4" t="inlineStr">
        <is>
          <t>["Python","Odoo"]</t>
        </is>
      </c>
      <c r="M4" t="inlineStr"/>
      <c r="N4" t="inlineStr">
        <is>
          <t>[]</t>
        </is>
      </c>
      <c r="O4" t="inlineStr"/>
      <c r="P4" t="inlineStr"/>
      <c r="Q4" t="inlineStr"/>
      <c r="R4" t="inlineStr"/>
      <c r="S4" t="inlineStr"/>
      <c r="T4" t="inlineStr">
        <is>
          <t>["设计开发基于Odoo的企业应用","开展Odoo模块定制开发和系统集成","优化Odoo应用性能和用户体验","分析客户需求并提供解决方案","维护支持Odoo项目并保障交付质量"]</t>
        </is>
      </c>
      <c r="U4" t="inlineStr"/>
      <c r="V4" t="inlineStr"/>
      <c r="W4" t="inlineStr"/>
      <c r="X4" t="inlineStr">
        <is>
          <t>LQ</t>
        </is>
      </c>
    </row>
    <row r="5">
      <c r="A5" t="inlineStr">
        <is>
          <t>public_002</t>
        </is>
      </c>
      <c r="B5" t="inlineStr">
        <is>
          <t>zhilian</t>
        </is>
      </c>
      <c r="C5" t="inlineStr">
        <is>
          <t>CC000283190J40710167711</t>
        </is>
      </c>
      <c r="D5">
        <f>HYPERLINK("https://www.zhaopin.com/jobdetail/CC000283190J40710167711.htm","https://www.zhaopin.com/jobdetail/CC000283190J40710167711.htm")</f>
        <v/>
      </c>
      <c r="E5" t="inlineStr">
        <is>
          <t>测试工程师(J12078)</t>
        </is>
      </c>
      <c r="F5" t="inlineStr">
        <is>
          <t>江铃汽车股份有限公司</t>
        </is>
      </c>
      <c r="G5" t="inlineStr">
        <is>
          <t>南昌 南昌县</t>
        </is>
      </c>
      <c r="H5" t="inlineStr">
        <is>
          <t>岗位职责:
1、响应和支持项目中产生的各类测试需求，独立制定测试策略，规划测试周期，完成测试项目；
2、搭建自动化测试体系，对接口，APP，UI进行持续测试；
3、在功能测试过程中，对产品需求提出改善和优化意见，提升产品体验；
4、参与软件测试技术规范的改进和制定, 提升研发质量和测试效率。
任职要求:
1、本科及以上学历，计算机、软件等相关专业；
2、测试理论知识扎实，能够灵活运用各类策略和方法，保证测试覆盖；
3、熟悉软件开发、测试理论和流程；
4、熟悉B/S系统、Ｃ/S系统测试流程和方法，熟悉常用测试管理工具，如Jira、QC等；
5、熟练掌握至少一种编程语言，如Java/JavaScript/Python/Shell；
6、具备产品的需求解构能力，能有效开展未上线产品的体验和评测环节；
7、主动，好学，责任心强，具备良好的对外沟通和团队协作能力；
8、在某一测试领域如性能、自动化或者大数据测试等具备很强的专业技能者优先。</t>
        </is>
      </c>
      <c r="I5" t="inlineStr"/>
      <c r="J5" t="inlineStr">
        <is>
          <t>测试工程师</t>
        </is>
      </c>
      <c r="K5" t="inlineStr"/>
      <c r="L5" t="inlineStr">
        <is>
          <t>["软件测试","Jira","QC","Java","JavaScript","Python","Shell"]</t>
        </is>
      </c>
      <c r="M5" t="inlineStr"/>
      <c r="N5" t="inlineStr">
        <is>
          <t>["性能测试","自动化测试","大数据测试"]</t>
        </is>
      </c>
      <c r="O5" t="inlineStr"/>
      <c r="P5" t="inlineStr"/>
      <c r="Q5" t="inlineStr"/>
      <c r="R5" t="inlineStr">
        <is>
          <t>本科</t>
        </is>
      </c>
      <c r="S5" t="inlineStr"/>
      <c r="T5" t="inlineStr">
        <is>
          <t>["响应测试需求并制定测试策略和测试计划","搭建接口、APP和UI自动化测试体系","执行功能测试并提出产品优化建议","参与测试技术规范制定和改进"]</t>
        </is>
      </c>
      <c r="U5" t="inlineStr"/>
      <c r="V5" t="inlineStr"/>
      <c r="W5" t="inlineStr"/>
      <c r="X5" t="inlineStr">
        <is>
          <t>LQ</t>
        </is>
      </c>
    </row>
    <row r="6">
      <c r="A6" t="inlineStr">
        <is>
          <t>public_003</t>
        </is>
      </c>
      <c r="B6" t="inlineStr">
        <is>
          <t>zhilian</t>
        </is>
      </c>
      <c r="C6" t="inlineStr">
        <is>
          <t>CC625242220J40768042010</t>
        </is>
      </c>
      <c r="D6">
        <f>HYPERLINK("https://www.zhaopin.com/jobdetail/CC625242220J40768042010.htm","https://www.zhaopin.com/jobdetail/CC625242220J40768042010.htm")</f>
        <v/>
      </c>
      <c r="E6" t="inlineStr">
        <is>
          <t>算法工程师（拼多多集团）</t>
        </is>
      </c>
      <c r="F6" t="inlineStr">
        <is>
          <t>拼多多集团-PDD</t>
        </is>
      </c>
      <c r="G6" t="inlineStr">
        <is>
          <t>上海 长宁区</t>
        </is>
      </c>
      <c r="H6" t="inlineStr">
        <is>
          <t>岗位职责
1. 利用机器学习/深度学习技术/图计算技术，优化app内外搜索、推荐、广告、图像、风控、智能客服、平台治理等效果，提升数亿用户的购物体验和平台的变现效率；
2. 深入产品和业务，发现算法和机制中的不足，提出改进方案并且推动实现；
3. 跟踪业界和学术界最新进展，将理论成果应用到业务场景，提升业务效果。
任职要求
1. 2026届毕业生，硕士及以上学历，计算机相关专业，对算法有浓厚兴趣；
2. 具备强悍的编码能力，熟悉linux开发环境，熟悉TensorFlow、PyTorch、Hive优先；
3. 具备扎实的数据结构功底，熟悉机器学习、深度学习、图计算、自然语言处理、数据挖掘中一项或多项；
4. 对大语言模型、用户增长、搜索引擎、推荐系统、计算广告、图像、互联网风控、智能客服、平台治理等相关领域有经验者优先；
5. 具备较好的数理基础和逻辑分析能力，对解决具有挑战性的问题充满激情，具备较好的主动性和团队合作精神。</t>
        </is>
      </c>
      <c r="I6" t="inlineStr"/>
      <c r="J6" t="inlineStr">
        <is>
          <t>算法工程师</t>
        </is>
      </c>
      <c r="K6" t="inlineStr"/>
      <c r="L6" t="inlineStr">
        <is>
          <t>["Linux","机器学习","深度学习","图计算","自然语言处理","数据挖掘"]</t>
        </is>
      </c>
      <c r="M6" t="inlineStr"/>
      <c r="N6" t="inlineStr">
        <is>
          <t>["TensorFlow","PyTorch","Hive","大语言模型","推荐算法","广告算法","风控算法","计算机视觉"]</t>
        </is>
      </c>
      <c r="O6" t="inlineStr"/>
      <c r="P6" t="inlineStr"/>
      <c r="Q6" t="inlineStr"/>
      <c r="R6" t="inlineStr">
        <is>
          <t>硕士</t>
        </is>
      </c>
      <c r="S6" t="inlineStr"/>
      <c r="T6" t="inlineStr">
        <is>
          <t>["利用机器学习、深度学习和图计算优化搜索、推荐、广告、图像、风控等业务效果","深入业务发现算法和机制问题并推动改进","跟踪业界和学术前沿并将研究成果应用于业务场景"]</t>
        </is>
      </c>
      <c r="U6" t="inlineStr"/>
      <c r="V6" t="inlineStr"/>
      <c r="W6" t="inlineStr"/>
      <c r="X6" t="inlineStr">
        <is>
          <t>LQ</t>
        </is>
      </c>
    </row>
    <row r="7">
      <c r="A7" t="inlineStr">
        <is>
          <t>public_004</t>
        </is>
      </c>
      <c r="B7" t="inlineStr">
        <is>
          <t>zhilian</t>
        </is>
      </c>
      <c r="C7" t="inlineStr">
        <is>
          <t>CC621497980J40827742809</t>
        </is>
      </c>
      <c r="D7">
        <f>HYPERLINK("https://www.zhaopin.com/jobdetail/CC621497980J40827742809.htm","https://www.zhaopin.com/jobdetail/CC621497980J40827742809.htm")</f>
        <v/>
      </c>
      <c r="E7" t="inlineStr">
        <is>
          <t>运维工程师（杭州项目）</t>
        </is>
      </c>
      <c r="F7" t="inlineStr">
        <is>
          <t>八六三软件</t>
        </is>
      </c>
      <c r="G7" t="inlineStr">
        <is>
          <t>杭州 滨江区</t>
        </is>
      </c>
      <c r="H7" t="inlineStr">
        <is>
          <t>岗位职责：
1、负责公司软件平台的日常运维，保障平台稳定、高效运行。
2、负责容器化平台的搭建和维护，使用Kubernetes 进行容器编排和管理。
3、负责设计、搭建、维护、优化可观测性系统，包括监控、告警、日志等，提供高效的日志收集、存储、分析和查询能力，实现对平台运行状态的全面掌控。
4、负责自动化运维工具和平台的开发，提升运维效率。
5、负责编写和维护运维文档，包括操作手册、故障处理指南等，处理平台故障，进行问题排查和解决，并总结经验教训。
任职要求：
1、统招本科及以上学历，计算机相关专业优先。
2、具备运维工作3年以上工作经验，有云平台(AWS、Azure、GcP 等)、微服务架构运维经验优先。
3、熟悉 Linux 操作系统，具备扎实的 Shell/Python 脚本编写能力。
4、熟悉 Kubernetes 容器编排技术，具备丰富的实践经验。
5、熟悉 Prometheus、Grafana 等监控工具，具备可观测性系统搭建和维护经验。
6、熟悉 ELK/EEK 等日志系统，具备日志收集、分析和查询的实战经验。
7、熟悉常用的运维工具和技术，例如 Ansible、Jenkins、Git 等。
8、具备良好的问题分析和解决能力，能够独立处理复杂问题。
9、具备良好的沟通能力和团队合作精神，责任心强。</t>
        </is>
      </c>
      <c r="I7" t="inlineStr"/>
      <c r="J7" t="inlineStr">
        <is>
          <t>运维工程师</t>
        </is>
      </c>
      <c r="K7" t="inlineStr"/>
      <c r="L7" t="inlineStr">
        <is>
          <t>["Linux","Shell","Python","Kubernetes","Prometheus","Grafana","ELK","Ansible","Jenkins","Git"]</t>
        </is>
      </c>
      <c r="M7" t="inlineStr"/>
      <c r="N7" t="inlineStr">
        <is>
          <t>["AWS","Azure","GCP","微服务架构运维"]</t>
        </is>
      </c>
      <c r="O7" t="inlineStr"/>
      <c r="P7" t="inlineStr">
        <is>
          <t>{"min_years":3,"max_years":null}</t>
        </is>
      </c>
      <c r="Q7" t="inlineStr"/>
      <c r="R7" t="inlineStr">
        <is>
          <t>本科</t>
        </is>
      </c>
      <c r="S7" t="inlineStr"/>
      <c r="T7" t="inlineStr">
        <is>
          <t>["负责软件平台日常运维并保障稳定运行","搭建和维护Kubernetes容器化平台","建设维护监控、告警和日志可观测性体系","开发自动化运维工具和平台","处理平台故障并维护运维文档"]</t>
        </is>
      </c>
      <c r="U7" t="inlineStr"/>
      <c r="V7" t="inlineStr"/>
      <c r="W7" t="inlineStr"/>
      <c r="X7" t="inlineStr">
        <is>
          <t>LQ</t>
        </is>
      </c>
    </row>
    <row r="8">
      <c r="A8" t="inlineStr">
        <is>
          <t>public_005</t>
        </is>
      </c>
      <c r="B8" t="inlineStr">
        <is>
          <t>zhilian</t>
        </is>
      </c>
      <c r="C8" t="inlineStr">
        <is>
          <t>CCL1513903680J40913248715</t>
        </is>
      </c>
      <c r="D8">
        <f>HYPERLINK("https://www.zhaopin.com/jobdetail/CCL1513903680J40913248715.htm","https://www.zhaopin.com/jobdetail/CCL1513903680J40913248715.htm")</f>
        <v/>
      </c>
      <c r="E8" t="inlineStr">
        <is>
          <t>运维工程师</t>
        </is>
      </c>
      <c r="F8" t="inlineStr">
        <is>
          <t>杭州煜城教育科技有限公司</t>
        </is>
      </c>
      <c r="G8" t="inlineStr">
        <is>
          <t>深圳 南山区</t>
        </is>
      </c>
      <c r="H8" t="inlineStr">
        <is>
          <t>岗位职责:
1、负责公司内部网络设备及计算机系统(软件和硬件设备)的安装与日常维护，保障公司电脑运行管理;
2、机房管理:负责机房网络设备，服务器，空调，消防，UPS，机房环境等监控管理;
3、负责公司IT固定资产的维护管理工作，完善IT固定资产台账等;
4、及时响应用户日常桌面问题需求，收集日常桌面运维中遇到的常见问题并进行优化解决;
5、负责网络与服务器管理与环境监控;
任职要求:
1、大学本科及以上学历，计算机相关专业优先;
2、精通Windows/macOS系统维护;熟悉基本的网络技术，能对PC端网络问题进行快速定位和解决;
3、熟悉常用服务器设备及办公设备，具备故障诊断和处理能力;
4、熟练掌握office办公软件，有良好的文档编写能力;</t>
        </is>
      </c>
      <c r="I8" t="inlineStr"/>
      <c r="J8" t="inlineStr">
        <is>
          <t>运维工程师</t>
        </is>
      </c>
      <c r="K8" t="inlineStr"/>
      <c r="L8" t="inlineStr">
        <is>
          <t>["Windows","macOS","网络技术","服务器维护","故障诊断","Office"]</t>
        </is>
      </c>
      <c r="M8" t="inlineStr"/>
      <c r="N8" t="inlineStr">
        <is>
          <t>[]</t>
        </is>
      </c>
      <c r="O8" t="inlineStr"/>
      <c r="P8" t="inlineStr"/>
      <c r="Q8" t="inlineStr"/>
      <c r="R8" t="inlineStr">
        <is>
          <t>本科</t>
        </is>
      </c>
      <c r="S8" t="inlineStr"/>
      <c r="T8" t="inlineStr">
        <is>
          <t>["负责网络设备和计算机软硬件安装及维护","负责机房网络、服务器、UPS及环境监控管理","维护IT固定资产及相关台账","响应并解决用户桌面运维问题","负责网络和服务器管理及环境监控"]</t>
        </is>
      </c>
      <c r="U8" t="inlineStr"/>
      <c r="V8" t="inlineStr"/>
      <c r="W8" t="inlineStr"/>
      <c r="X8" t="inlineStr">
        <is>
          <t>LQ</t>
        </is>
      </c>
    </row>
    <row r="9">
      <c r="A9" t="inlineStr">
        <is>
          <t>public_006</t>
        </is>
      </c>
      <c r="B9" t="inlineStr">
        <is>
          <t>zhilian</t>
        </is>
      </c>
      <c r="C9" t="inlineStr">
        <is>
          <t>CCL1344028620J40762326112</t>
        </is>
      </c>
      <c r="D9">
        <f>HYPERLINK("https://www.zhaopin.com/jobdetail/CCL1344028620J40762326112.htm","https://www.zhaopin.com/jobdetail/CCL1344028620J40762326112.htm")</f>
        <v/>
      </c>
      <c r="E9" t="inlineStr">
        <is>
          <t>数据分析师(J10072)</t>
        </is>
      </c>
      <c r="F9" t="inlineStr">
        <is>
          <t>北京夏初科技集团有限公司</t>
        </is>
      </c>
      <c r="G9" t="inlineStr">
        <is>
          <t>北京 朝阳区</t>
        </is>
      </c>
      <c r="H9" t="inlineStr">
        <is>
          <t>岗位职责:
1、数据收集与整理：从公司内部业务系统、数据库以及外部数据源收集相关数据，对收集到的数据进行清洗、去重、转换等预处理工作，确保数据的准确性、完整性和一致性。
2、数据分析与挖掘：运用统计学方法、机器学习算法等对数据进行深入分析和挖掘，发现数据中的潜在规律和趋势，为业务决策提供数据依据。
3、报表与报告制作：根据业务需求，定期生成各类数据分析报表和可视化报告，如日报、周报、月报等，以直观的方式呈现数据结果和分析结论，使非技术人员也能轻松理解。
4、业务支持：与各业务部门紧密合作，深入了解业务需求和痛点，通过数据分析为业务部门提供针对性的解决方案和建议，助力业务优化和提升。
5、数据监测与预警：建立数据监测体系，实时监控关键业务指标，及时发现数据异常波动并发出预警，协助业务部门快速响应和解决问题。
6、数据模型构建：根据业务需求和数据特点，构建数据分析模型，如预测模型、用户画像模型等，为公司业务发展提供前瞻性的数据分析和预测。
任职要求:
1、统计学、数学、计算机科学、信息管理等相关专业优先。
2、获得相关数据分析认证，如 CPDA（Certified Professional Data Analyst）、CDA（Certified Data Analyst）等优先
3、有参与过大型数据分析项目经验者优先，具备良好的沟通能力，能够与不同部门、不同层级人员进行有效的沟通与协作，准确理解业务需求并传达数据分析结果。
4、具备一定的项目管理能力，能够合理安排数据分析项目的进度和资源，确保项目按时完成。
5、精通统计学、数学基础，熟练掌握数据分析方法和工具，具备较强的逻辑思维能力和问题解决能力。</t>
        </is>
      </c>
      <c r="I9" t="inlineStr"/>
      <c r="J9" t="inlineStr">
        <is>
          <t>数据分析师</t>
        </is>
      </c>
      <c r="K9" t="inlineStr"/>
      <c r="L9" t="inlineStr">
        <is>
          <t>["统计学","数据分析","机器学习","数据可视化","数据建模","项目管理"]</t>
        </is>
      </c>
      <c r="M9" t="inlineStr"/>
      <c r="N9" t="inlineStr">
        <is>
          <t>[]</t>
        </is>
      </c>
      <c r="O9" t="inlineStr"/>
      <c r="P9" t="inlineStr"/>
      <c r="Q9" t="inlineStr"/>
      <c r="R9" t="inlineStr"/>
      <c r="S9" t="inlineStr"/>
      <c r="T9" t="inlineStr">
        <is>
          <t>["收集、清洗、去重和转换业务数据","开展统计分析和数据挖掘并发现规律趋势","制作数据分析报表和可视化报告","建立业务指标监测和异常预警体系","构建预测模型、用户画像等数据分析模型"]</t>
        </is>
      </c>
      <c r="U9" t="inlineStr"/>
      <c r="V9" t="inlineStr"/>
      <c r="W9" t="inlineStr"/>
      <c r="X9" t="inlineStr">
        <is>
          <t>LQ</t>
        </is>
      </c>
    </row>
    <row r="10">
      <c r="A10" t="inlineStr">
        <is>
          <t>public_007</t>
        </is>
      </c>
      <c r="B10" t="inlineStr">
        <is>
          <t>zhilian</t>
        </is>
      </c>
      <c r="C10" t="inlineStr">
        <is>
          <t>CC413091930J40792330703</t>
        </is>
      </c>
      <c r="D10">
        <f>HYPERLINK("https://www.zhaopin.com/jobdetail/CC413091930J40792330703.htm","https://www.zhaopin.com/jobdetail/CC413091930J40792330703.htm")</f>
        <v/>
      </c>
      <c r="E10" t="inlineStr">
        <is>
          <t>大模型算法工程师</t>
        </is>
      </c>
      <c r="F10" t="inlineStr">
        <is>
          <t>湖南博匠信息科技有限公司</t>
        </is>
      </c>
      <c r="G10" t="inlineStr">
        <is>
          <t>长沙 岳麓区</t>
        </is>
      </c>
      <c r="H10" t="inlineStr">
        <is>
          <t>岗位职责
1、参与行业基础大模型的算法设计、开发、优化及落地，解决实际业务问题。
2、与业务团队紧密合作，理解需求并抽象为可建模的算法问题，输出解决方案。
3、跟踪前沿算法技术（如大模型、深度学习、强化学习等），探索其在业务中的应用场景。
4、参与大模型相关的技术开发，包括但不限于模型架构设计、模型融合、模型微调等。
任职要求
1、211/985院校或国际知名高校，数学、计算机、统计、电子信息等相关专业，本科及以上学历。
2、扎实的算法基础，熟悉机器学习（LR、GBDT等）、深度学习（CNN、RNN、Transformer等）核心算法；熟练使用Python，熟悉至少一种深度学习框架（TensorFlow/PyTorch）；具备良好的数据处理能力，熟练使用SQL/Pandas/Spark/ES等工具；熟练掌握常见算法落地流程，包括特征工程、模型评估、AB测试等。
3、1年以上算法相关经验，有实习或项目经历者优先；接触过大模型（如LLM、多模态模型）相关技术，包括底层架构、优化训练、微调或应用开发；具备使用国产算力进行研发的经验者优先。
4、逻辑清晰，具备较强的数学建模和问题拆解能力；良好的沟通能力和团队协作意识，能快速理解业务需求；对技术有热情，学习能力强，能适应快速迭代的业务环境。</t>
        </is>
      </c>
      <c r="I10" t="inlineStr"/>
      <c r="J10" t="inlineStr">
        <is>
          <t>算法工程师</t>
        </is>
      </c>
      <c r="K10" t="inlineStr"/>
      <c r="L10" t="inlineStr">
        <is>
          <t>["机器学习","深度学习","Python","TensorFlow","PyTorch","SQL","Pandas","Spark","Elasticsearch","特征工程","模型评估","A/B测试","大语言模型","多模态模型"]</t>
        </is>
      </c>
      <c r="M10" t="inlineStr"/>
      <c r="N10" t="inlineStr">
        <is>
          <t>["国产算力研发"]</t>
        </is>
      </c>
      <c r="O10" t="inlineStr"/>
      <c r="P10" t="inlineStr">
        <is>
          <t>{"min_years":1,"max_years":null}</t>
        </is>
      </c>
      <c r="Q10" t="inlineStr"/>
      <c r="R10" t="inlineStr">
        <is>
          <t>本科</t>
        </is>
      </c>
      <c r="S10" t="inlineStr"/>
      <c r="T10" t="inlineStr">
        <is>
          <t>["参与行业基础大模型算法设计、开发、优化和落地","将业务需求抽象为算法问题并输出解决方案","跟踪大模型、深度学习、强化学习等前沿技术","参与模型架构设计、模型融合和模型微调"]</t>
        </is>
      </c>
      <c r="U10" t="inlineStr"/>
      <c r="V10" t="inlineStr"/>
      <c r="W10" t="inlineStr"/>
      <c r="X10" t="inlineStr">
        <is>
          <t>LQ</t>
        </is>
      </c>
    </row>
    <row r="11">
      <c r="A11" t="inlineStr">
        <is>
          <t>public_008</t>
        </is>
      </c>
      <c r="B11" t="inlineStr">
        <is>
          <t>zhilian</t>
        </is>
      </c>
      <c r="C11" t="inlineStr">
        <is>
          <t>CC161678510J40830577714</t>
        </is>
      </c>
      <c r="D11">
        <f>HYPERLINK("https://www.zhaopin.com/jobdetail/CC161678510J40830577714.htm","https://www.zhaopin.com/jobdetail/CC161678510J40830577714.htm")</f>
        <v/>
      </c>
      <c r="E11" t="inlineStr">
        <is>
          <t>大模型算法工程师</t>
        </is>
      </c>
      <c r="F11" t="inlineStr">
        <is>
          <t>京东方科技集团股份有限公司</t>
        </is>
      </c>
      <c r="G11" t="inlineStr">
        <is>
          <t>北京 大兴区</t>
        </is>
      </c>
      <c r="H11" t="inlineStr">
        <is>
          <t>岗位职责：
1. 构建基于大模型的智能数据分析引擎，提供工厂数据的智能数据分析能力；
2. 构建企业运营智能体应用，提供多模态知识问答、多模态报告生成能力；
3. 探索大模型在知识问答、图表理解、报告拆解、数据联动方面的应用；
4. 结合BOE终端产品、业务线的实际需求，开发通用AI工作流，搭建多智能体（Multi-Agent）应用框架；
任职要求：
1.工作经验2年以上，具有自然语言处理、语音交互、计算机视觉或者深度学习相关专业硕士以上学历；可熟练使用python、C++；:具有一定的抗压能力；
2.具备扎实的LLM相关理论知识，熟悉大模型的微调(Lora）、增量预训练、对齐以及部署加速等相关知识，具备实操能力；
3.熟悉DeepSeek/Qwen等主流大模型，等熟悉Pytorch，DeepSpeed、Megatron主流的深度学习训练框架，熟悉常用的大模型加速推理框架(vLLM，TensorRT-LLM)；；
4.熟悉大模型在产品化过程中的推理、调优、量化、封装、部署等常见技术问题及解决方案；
5.有基于大模型的ChatBI/Agent/RAG等落地应用项目开发经验者加分，有多模态大模型训练经验者加分。</t>
        </is>
      </c>
      <c r="I11" t="inlineStr"/>
      <c r="J11" t="inlineStr">
        <is>
          <t>算法工程师</t>
        </is>
      </c>
      <c r="K11" t="inlineStr"/>
      <c r="L11" t="inlineStr">
        <is>
          <t>["Python","C++","大语言模型","LoRA","增量预训练","模型对齐","PyTorch","DeepSpeed","Megatron","vLLM","TensorRT-LLM","模型量化","模型部署"]</t>
        </is>
      </c>
      <c r="M11" t="inlineStr"/>
      <c r="N11" t="inlineStr">
        <is>
          <t>["ChatBI","Agentic AI","检索增强生成","多模态模型"]</t>
        </is>
      </c>
      <c r="O11" t="inlineStr"/>
      <c r="P11" t="inlineStr">
        <is>
          <t>{"min_years":2,"max_years":null}</t>
        </is>
      </c>
      <c r="Q11" t="inlineStr"/>
      <c r="R11" t="inlineStr">
        <is>
          <t>硕士</t>
        </is>
      </c>
      <c r="S11" t="inlineStr"/>
      <c r="T11" t="inlineStr">
        <is>
          <t>["构建基于大模型的智能数据分析引擎","构建企业运营智能体及多模态知识问答和报告生成应用","探索大模型在知识问答、图表理解、报告拆解和数据联动中的应用","开发通用AI工作流并搭建Multi-Agent应用框架"]</t>
        </is>
      </c>
      <c r="U11" t="inlineStr"/>
      <c r="V11" t="inlineStr"/>
      <c r="W11" t="inlineStr"/>
      <c r="X11" t="inlineStr">
        <is>
          <t>LQ</t>
        </is>
      </c>
    </row>
    <row r="12">
      <c r="A12" t="inlineStr">
        <is>
          <t>public_009</t>
        </is>
      </c>
      <c r="B12" t="inlineStr">
        <is>
          <t>zhilian</t>
        </is>
      </c>
      <c r="C12" t="inlineStr">
        <is>
          <t>CC231729210J40594294301</t>
        </is>
      </c>
      <c r="D12">
        <f>HYPERLINK("https://www.zhaopin.com/jobdetail/CC231729210J40594294301.htm","https://www.zhaopin.com/jobdetail/CC231729210J40594294301.htm")</f>
        <v/>
      </c>
      <c r="E12" t="inlineStr">
        <is>
          <t>数据工程师</t>
        </is>
      </c>
      <c r="F12" t="inlineStr">
        <is>
          <t>中富通</t>
        </is>
      </c>
      <c r="G12" t="inlineStr">
        <is>
          <t>上海 杨浦区</t>
        </is>
      </c>
      <c r="H12" t="inlineStr">
        <is>
          <t>岗位职责：
1、制定和执行数据产品的战略规划，确定数据产品的愿景、目标和路线图。理解市场需求和竞争环境，将其转化为数据产品的关键特性和功能。
2、与业务部门、数据科学家和技术团队合作，收集和分析用户需求，定义数据产品的功能和规格。确保数据产品能够满足用户的期望和业务需求。
3、制定数据产品的开发计划和优先级，确保按时交付高质量的产品。根据市场需求和业务优先级，制定产品发布计划和里程碑。
4、与数据科学家、工程师、设计师、市场营销团队和运营团队等跨部门团队密切合作。协调各团队的工作，确保数据产品的顺利开发、测试和上线。
5、关注用户体验，确保数据产品的易用性和用户友好性。与设计师合作，制定用户界面和交互设计，提供优化建议和反馈。
6、定义数据产品的关键性能指标和数据追踪方案。监测和分析产品的使用情况和效果，提供数据驱动的决策支持和产品改进建议
任职资格：
1、具备计算机科学、数据科学、商业管理或相关领域的学士或硕士学位，至少3年以上的相关经验；
2、熟练掌握Html/JavaScript/CSS、以及AngularJS、Jquery等前台开发框架；
2、熟练掌握常见Linux 命令，Scala/Python/shell/perl 中的一种或更多开发语言；
3、有大数据Hadoop/HBase/Flume/Kafka/Flink/Hive/Spark等开源大数据技术相关经验。</t>
        </is>
      </c>
      <c r="I12" t="inlineStr"/>
      <c r="J12" t="inlineStr">
        <is>
          <t>数据产品经理</t>
        </is>
      </c>
      <c r="K12" t="inlineStr"/>
      <c r="L12" t="inlineStr">
        <is>
          <t>["HTML","JavaScript","CSS","AngularJS","jQuery","Linux","Scala","Python","Shell","Perl","Hadoop","HBase","Flume","Kafka","Flink","Hive","Spark"]</t>
        </is>
      </c>
      <c r="M12" t="inlineStr"/>
      <c r="N12" t="inlineStr">
        <is>
          <t>[]</t>
        </is>
      </c>
      <c r="O12" t="inlineStr"/>
      <c r="P12" t="inlineStr">
        <is>
          <t>{"min_years":3,"max_years":null}</t>
        </is>
      </c>
      <c r="Q12" t="inlineStr"/>
      <c r="R12" t="inlineStr">
        <is>
          <t>本科</t>
        </is>
      </c>
      <c r="S12" t="inlineStr"/>
      <c r="T12" t="inlineStr">
        <is>
          <t>["制定数据产品战略规划、目标和路线图","收集分析用户需求并定义数据产品功能和规格","制定开发计划、优先级及发布里程碑","协调跨部门团队完成产品开发、测试和上线","定义产品指标并通过数据分析持续优化产品"]</t>
        </is>
      </c>
      <c r="U12" t="inlineStr"/>
      <c r="V12" t="inlineStr"/>
      <c r="W12" t="inlineStr"/>
      <c r="X12" t="inlineStr">
        <is>
          <t>LQ</t>
        </is>
      </c>
    </row>
    <row r="13">
      <c r="A13" t="inlineStr">
        <is>
          <t>public_010</t>
        </is>
      </c>
      <c r="B13" t="inlineStr">
        <is>
          <t>zhilian</t>
        </is>
      </c>
      <c r="C13" t="inlineStr">
        <is>
          <t>CC385622410J40778876906</t>
        </is>
      </c>
      <c r="D13">
        <f>HYPERLINK("https://www.zhaopin.com/jobdetail/CC385622410J40778876906.htm","https://www.zhaopin.com/jobdetail/CC385622410J40778876906.htm")</f>
        <v/>
      </c>
      <c r="E13" t="inlineStr">
        <is>
          <t>运维工程师</t>
        </is>
      </c>
      <c r="F13" t="inlineStr">
        <is>
          <t>法本信息</t>
        </is>
      </c>
      <c r="G13" t="inlineStr">
        <is>
          <t>海口 美兰区</t>
        </is>
      </c>
      <c r="H13" t="inlineStr">
        <is>
          <t>岗位职责
负责系统功能验证、系统初始化及运行支持，系统使用培训、材料编写。
负责系统日常维护，开展应用、数据库及作业的问题处理。
负责系统作业的申请、系统作业的发布配置部署工作，配合开发开展问题排查。
负责接收咨询反馈的数据需求授权、问题处理。
负责数据供给链接排查及传递数据采集处理，相关台账梳理，保障常规数据稳定性。
任职要求
1年及以上工作经验。
熟悉南方电网基建、计量、营销等项目实施推广经验的优先。
熟悉掌握南方数据中心工具优先。
具备基本的电网业务知识，了解安全生产及项目管理等相关电网业务。
具备系统日常运维、统一部署、监控管理、性能优化、问题分析、故障处置的相关能力。</t>
        </is>
      </c>
      <c r="I13" t="inlineStr"/>
      <c r="J13" t="inlineStr">
        <is>
          <t>运维工程师</t>
        </is>
      </c>
      <c r="K13" t="inlineStr"/>
      <c r="L13" t="inlineStr">
        <is>
          <t>["系统运维","系统部署","监控管理","性能优化","问题分析","故障处理","电网业务知识"]</t>
        </is>
      </c>
      <c r="M13" t="inlineStr"/>
      <c r="N13" t="inlineStr">
        <is>
          <t>["南方电网项目实施","南方数据中心工具"]</t>
        </is>
      </c>
      <c r="O13" t="inlineStr"/>
      <c r="P13" t="inlineStr">
        <is>
          <t>{"min_years":1,"max_years":null}</t>
        </is>
      </c>
      <c r="Q13" t="inlineStr"/>
      <c r="R13" t="inlineStr"/>
      <c r="S13" t="inlineStr"/>
      <c r="T13" t="inlineStr">
        <is>
          <t>["负责系统功能验证、初始化、运行支持和用户培训","负责应用、数据库和系统作业日常维护","负责系统作业发布、配置部署并配合开发排查问题","处理咨询反馈、数据需求授权和问题处置","排查数据供给链路并保障常规数据稳定"]</t>
        </is>
      </c>
      <c r="U13" t="inlineStr"/>
      <c r="V13" t="inlineStr"/>
      <c r="W13" t="inlineStr"/>
      <c r="X13" t="inlineStr">
        <is>
          <t>LQ</t>
        </is>
      </c>
    </row>
    <row r="14">
      <c r="A14" t="inlineStr">
        <is>
          <t>r2_001</t>
        </is>
      </c>
      <c r="B14" t="inlineStr">
        <is>
          <t>zhilian</t>
        </is>
      </c>
      <c r="C14" t="inlineStr">
        <is>
          <t>CC306817280J40866068701</t>
        </is>
      </c>
      <c r="D14" t="inlineStr">
        <is>
          <t>http://www.zhaopin.com/jobdetail/CC306817280J40866068701.htm</t>
        </is>
      </c>
      <c r="E14" t="inlineStr">
        <is>
          <t>前端开发工程师</t>
        </is>
      </c>
      <c r="F14" t="inlineStr">
        <is>
          <t>深圳市工易付电子科技有限公司</t>
        </is>
      </c>
      <c r="G14" t="inlineStr">
        <is>
          <t>深圳·南山·粤海</t>
        </is>
      </c>
      <c r="H14" t="inlineStr">
        <is>
          <t>岗位职责
1、负责公司后台管理系统、Web端、H5页面、微信小程序的开发、优化与迭代，根据产品需求和UI设计，高质量完成页面编写、交互功能实现，精准还原设计效果，保障产品页面美观、操作流畅、多端适配性良好。
2、配合产品、UI、后端团队完成需求评审、方案落地，精准对接接口，实现前后端数据联调，高效完成功能开发与bug修复。
3、持续优化前端页面性能、加载速度、兼容性及用户体验，解决浏览器适配、移动端适配、页面卡顿、白屏等各类前端问题。
4、参与前端项目架构优化、组件封装、代码规范制定，维护公共组件库，提升团队开发效率，保障代码可维护性、可复用性。
5、跟进前端主流技术生态，开展技术调研与落地实践，参与项目复盘、代码评审，推动团队技术迭代升级。
6、负责微信小程序调试发布、安卓、IOS项目打包、适配测试、上架提交全流程工作，解决打包报错、机型适配、上架审核等各类问题，保障移动端项目顺利上线。
任职要求 （移动端采用 原生+RN）
（一）必备技能
1、基础功底扎实：熟练掌握HTML5、CSS3、JavaScript(ES6+)，精通DOM、BOM、AJAX、跨域、浏览器渲染机制、事件机制等前端核心底层原理，能够手写原生代码，无框架依赖，熟悉Android、IOS原生开发。
2、精通主流开发框架：熟练掌握React Native， Vue3/Vue2 全家桶（Vue Router、Pinia/Vuex、Axios等），熟练使用组件封装、状态管理、路由配置等核心开发能力；熟悉框架生命周期、响应式原理，能独立解决框架开发中的各类问题。
3、熟练前端工程化工具：熟练使用 Vite、Webpack、Git、ESLint、Prettier 等工具，掌握模块化、工程化开发流程，具备规范的代码编写习惯。
4、具备良好的适配与兼容能力：熟练完成PC端、移动端响应式布局开发，适配主流浏览器、手机机型，掌握Flex、Grid等常用布局方案。
5、具备独立开发能力：能够独立承接业务模块开发，熟练对接后端RESTful API接口，完成数据渲染、交互逻辑、表单校验、权限控制等功能开发。
6、具备良好的问题排查、调试能力，熟练使用浏览器开发者工具、小程序调试工具定位并修复各类bug，具备基础的性能优化意识和实操能力，可独立完成多端项目问题排查与修复。
（二）加分技能
1、熟练掌握微信小程序原生开发、适配调试、版本发布流程，有完整小程序项目落地经验优先。
2、熟悉 Uni-app / Taro 等跨端开发框架，具备安卓、IOS端项目打包、环境配置、证书配置、上架提交实操经验，可独立处理打包及上架过程中的各类问题优先。
3、具备中大型后台管理系统独立开发、功能迭代、权限配置、数据可视化开发经验者优先；具备组件库、设计系统搭建维护经验，熟悉前端自动化测试（Jest等）者优先。
4、了解微前端、PWA、Web性能优化、Web安全相关知识，熟悉移动端多端适配、性能优化、上架审核规范者优先。
5、有企业级后台系统、小程序、跨端移动端项目完整开发上线经验者优先。
6、无原生（Android+IOS）+RN开发经验者不考虑！</t>
        </is>
      </c>
      <c r="I14" t="inlineStr"/>
      <c r="J14" t="inlineStr">
        <is>
          <t>React前端工程师</t>
        </is>
      </c>
      <c r="K14" t="inlineStr"/>
      <c r="L14" t="inlineStr">
        <is>
          <t>["HTML5","CSS3","JavaScript","Vue","React Native","Vue Router","Pinia","Vuex","Axios","Vite","Webpack","Git","ESLint","Prettier","RESTful API","Flex","Grid","Android开发","iOS开发"]</t>
        </is>
      </c>
      <c r="M14" t="inlineStr"/>
      <c r="N14" t="inlineStr">
        <is>
          <t>["微信小程序开发","Uni-app","Taro","数据可视化","Jest","微前端","PWA","Web性能优化","Web安全"]</t>
        </is>
      </c>
      <c r="O14" t="inlineStr"/>
      <c r="P14" t="inlineStr"/>
      <c r="Q14" t="inlineStr"/>
      <c r="R14" t="inlineStr"/>
      <c r="S14" t="inlineStr"/>
      <c r="T14" t="inlineStr">
        <is>
          <t>["Web/H5/微信小程序开发与多端适配","前端性能优化与兼容性排查","组件封装与代码规范制定","安卓/iOS 打包与上架"]</t>
        </is>
      </c>
      <c r="U14" t="inlineStr">
        <is>
          <t>人工终审_定稿</t>
        </is>
      </c>
      <c r="V14" t="inlineStr"/>
      <c r="W14" t="inlineStr">
        <is>
          <t>title 按终审口径细分（移除泛词『前端开发工程师』）：双栈（RN+Vue+小程序+原生）取硬性必备 React Native（『无原生+RN 开发经验者不考虑』），格式对齐 r2_014『React前端工程师』；skills 19 项（DOM/BOM/AJAX 等 JS 子能力不单列，对齐 round1 粒度）；无学历/年限条款</t>
        </is>
      </c>
      <c r="X14" t="inlineStr">
        <is>
          <t>ZKT</t>
        </is>
      </c>
    </row>
    <row r="15">
      <c r="A15" t="inlineStr">
        <is>
          <t>r2_002</t>
        </is>
      </c>
      <c r="B15" t="inlineStr">
        <is>
          <t>zhilian</t>
        </is>
      </c>
      <c r="C15" t="inlineStr">
        <is>
          <t>CC814281950J40733486409</t>
        </is>
      </c>
      <c r="D15" t="inlineStr">
        <is>
          <t>http://www.zhaopin.com/jobdetail/CC814281950J40733486409.htm</t>
        </is>
      </c>
      <c r="E15" t="inlineStr">
        <is>
          <t>后端开发工程师</t>
        </is>
      </c>
      <c r="F15" t="inlineStr">
        <is>
          <t>无锡九方科技有限公司</t>
        </is>
      </c>
      <c r="G15" t="inlineStr">
        <is>
          <t>无锡·滨湖·蠡园</t>
        </is>
      </c>
      <c r="H15" t="inlineStr">
        <is>
          <t>薪酬面议！！
岗位职责：
1、负责公司相关业务后端开发工作，在支撑复杂多变的业务需求的同时保证核心逻辑的稳定；
2、负责微服务架构设计、技术选型、迭代和核心代码开发；
3、负责编写和维护开发者文档，生成清晰而全面的技术文档；
4、负责大数据中间件产品的研发；
5、参与软件开发生命周期的各个阶段，包括需求分析、设计、编码、测试和部署；
6、负责维护和优化现有项目，确保系统的稳定性和高效性；
7、与团队成员协作，推动项目进展，解决技术难题；
8、研究和应用新技术，提升团队整体技术水平；
9、完成上级交办的其他相关工作。
岗位要求：
1、本科及以上学历，计算机、电子、通信等信息类相关专业；
2、具备3-5年以上软件开发相关工作经验；
3、具备强悍的编码能力，扎实的数据结构与算法功底；
4、熟练掌握 Golang 或 Python，能够独立开发和维护应用程序；
5、熟练使用 Linux，掌握常用命令，能够进行远程开发；
6、熟悉 Docker，能够进行交付和部署；
7、具备良好的数据库设计和操作经验，熟悉PostgreSQL、MongoDB、Redis等；
8、能够接受出差以及偶尔驻场部署任务。
其他要求：良好的沟通和协调能力，责任心强，有团队精神，具备客户服务意识。
附加项：熟练使用 AI工具解决工作中的实际问题。</t>
        </is>
      </c>
      <c r="I15" t="inlineStr"/>
      <c r="J15" t="inlineStr">
        <is>
          <t>Golang后端工程师</t>
        </is>
      </c>
      <c r="K15" t="inlineStr"/>
      <c r="L15" t="inlineStr">
        <is>
          <t>["Golang","Python","Linux","Docker","PostgreSQL","MongoDB","Redis","微服务"]</t>
        </is>
      </c>
      <c r="M15" t="inlineStr"/>
      <c r="N15" t="inlineStr">
        <is>
          <t>["AI工具"]</t>
        </is>
      </c>
      <c r="O15" t="inlineStr"/>
      <c r="P15" t="inlineStr">
        <is>
          <t>{"min_years":3,"max_years":5}</t>
        </is>
      </c>
      <c r="Q15" t="inlineStr"/>
      <c r="R15" t="inlineStr">
        <is>
          <t>本科</t>
        </is>
      </c>
      <c r="S15" t="inlineStr"/>
      <c r="T15" t="inlineStr">
        <is>
          <t>["业务后端开发与微服务架构设计","大数据中间件产品研发","技术文档编写与系统优化"]</t>
        </is>
      </c>
      <c r="U15" t="inlineStr">
        <is>
          <t>人工终审_定稿</t>
        </is>
      </c>
      <c r="V15" t="inlineStr"/>
      <c r="W15" t="inlineStr">
        <is>
          <t>title 按终审口径细分（移除泛词『后端开发工程师』）：『熟练掌握 Golang 或 Python』二选一取序首 Golang，格式对齐 r2_019『Java后端工程师』；skills 8 项（AI 工具属『附加项』移 bonus；数据结构与算法为通用基础不单列）；3-5 年经验</t>
        </is>
      </c>
      <c r="X15" t="inlineStr">
        <is>
          <t>ZKT</t>
        </is>
      </c>
    </row>
    <row r="16">
      <c r="A16" t="inlineStr">
        <is>
          <t>r2_003</t>
        </is>
      </c>
      <c r="B16" t="inlineStr">
        <is>
          <t>zhilian</t>
        </is>
      </c>
      <c r="C16" t="inlineStr">
        <is>
          <t>CC375491730J40915690503</t>
        </is>
      </c>
      <c r="D16" t="inlineStr">
        <is>
          <t>http://www.zhaopin.com/jobdetail/CC375491730J40915690503.htm</t>
        </is>
      </c>
      <c r="E16" t="inlineStr">
        <is>
          <t>大模型算法工程师</t>
        </is>
      </c>
      <c r="F16" t="inlineStr">
        <is>
          <t>普望(上海)信息科技有限公司</t>
        </is>
      </c>
      <c r="G16" t="inlineStr">
        <is>
          <t>广州·海珠·琶洲</t>
        </is>
      </c>
      <c r="H16" t="inlineStr">
        <is>
          <t>职位描述：
专注于大语言模型（LLM）及多模态大模型（VLM）的工程化落地与Agent应用开发。我们需要你不仅了解Transformer架构，更能驾驭生产级的Python代码。你将负责构建支撑高并发的智能问答与Agent服务，解决大模型在推理性能、长上下文处理及多模态融合中的技术难题，并完成国产算力环境下的全栈适配。
岗位职责：
1. RAG链路开发：负责检索增强生成（RAG）系统的全流程搭建，包括文档切片策略优化、Embedding模型微调、向量数据库选型与调优，以及Hybrid Search（混合搜索）的实现。
2. Agent架构设计：基于LangChain/LlamaIndex等框架开发自主规划型Agent，实现Tool Calling、Function Calling及Multi-Agent协作；设计并实现ReAct、Reflexion等先进Prompt范式，提升复杂任务执行成功率。
3. 工程化接口开发：使用FastAPI开发标准RESTful API，这是本岗位的核心考核点。要求具备高并发处理能力，能够管理LLM推理的长连接与流式输出（SSE/WebSocket），保障服务的稳定性与低延迟。
4. 模型部署与优化：负责LLM/VLM模型（如Qwen、DeepSeek、GLM等）的量化（GPTQ/AWQ）、推理加速（vLLM/TGI）及服务化部署；完成模型在昇腾（Ascend）、寒武纪等国产硬件上的适配与性能调优。
5. 容器化交付：基于Docker和K8s构建弹性伸缩的大模型推理集群，集成KV Cache监控、显存管理及日志追踪系统。
任职要求：
1. 必备（Python工程）：3年以上Python开发经验，不仅限于脚本编写，必须具备高并发后端服务开发经验。精通FastAPI及其异步编程（Async/Await）、依赖注入与中间件机制，熟悉流式响应技术。
2. 必备（大模型技术栈）：深入理解Transformer架构，熟悉主流大模型（Qwen、DeepSeek等）的特性；具备LangChain或LlamaIndex等框架的深度开发经验，能独立构建复杂的RAG与Agent应用。
3. 必备（架构组件）：熟悉向量数据库（Milvus、Chroma、Elasticsearch等）的原理与应用；熟练使用Redis缓存历史会话与KV Cache，有Kafka处理大规模日志或数据流的经验。
4. 必备（部署推理）：熟练掌握模型量化（INT4/INT8）与推理加速技术；有PyTorch模型导出及vLLM、TGI等高性能推理框架的部署实战经验。
5. 优先（加分）：
（1）熟悉国产AI芯片软件栈（昇腾CANN、MindIE等），有国产化大模型推理优化经验。
（2）有VLM（多模态）落地经验，熟悉Layout Analysis或OCR与大模型的结合应用。
（3）熟悉CUDA编程或Triton算子开发，有显存/内存泄漏排查及性能调优经验。</t>
        </is>
      </c>
      <c r="I16" t="inlineStr"/>
      <c r="J16" t="inlineStr">
        <is>
          <t>大模型应用工程师</t>
        </is>
      </c>
      <c r="K16" t="inlineStr"/>
      <c r="L16" t="inlineStr">
        <is>
          <t>["Python","FastAPI","LangChain","LlamaIndex","RAG","Agent","Transformer","Qwen","DeepSeek","GLM","Milvus","Chroma","Elasticsearch","Redis","Kafka","PyTorch","vLLM","TGI","模型量化","Docker","Kubernetes"]</t>
        </is>
      </c>
      <c r="M16" t="inlineStr"/>
      <c r="N16" t="inlineStr">
        <is>
          <t>["昇腾CANN","MindIE","VLM","OCR","CUDA","Triton"]</t>
        </is>
      </c>
      <c r="O16" t="inlineStr"/>
      <c r="P16" t="inlineStr">
        <is>
          <t>{"min_years":3,"max_years":null}</t>
        </is>
      </c>
      <c r="Q16" t="inlineStr"/>
      <c r="R16" t="inlineStr"/>
      <c r="S16" t="inlineStr"/>
      <c r="T16" t="inlineStr">
        <is>
          <t>["RAG 链路全流程开发","Agent 架构设计与 Prompt 范式","FastAPI 高并发接口开发","模型量化与推理加速部署"]</t>
        </is>
      </c>
      <c r="U16" t="inlineStr">
        <is>
          <t>人工终审_定稿</t>
        </is>
      </c>
      <c r="V16" t="inlineStr"/>
      <c r="W16" t="inlineStr">
        <is>
          <t>title 按正文判断（终审口径）：正文为 LLM 工程化落地与 Agent 应用（RAG/部署为主，非算法研究）→ 大模型应用工程师，不做 round1『大模型算法→算法工程师』归并；skills 21 项；无学历条款（仅年限）；3 年+</t>
        </is>
      </c>
      <c r="X16" t="inlineStr">
        <is>
          <t>ZKT</t>
        </is>
      </c>
    </row>
    <row r="17">
      <c r="A17" t="inlineStr">
        <is>
          <t>r2_004</t>
        </is>
      </c>
      <c r="B17" t="inlineStr">
        <is>
          <t>zhilian</t>
        </is>
      </c>
      <c r="C17" t="inlineStr">
        <is>
          <t>CC170637110J40757061113</t>
        </is>
      </c>
      <c r="D17" t="inlineStr">
        <is>
          <t>http://www.zhaopin.com/jobdetail/CC170637110J40757061113.htm</t>
        </is>
      </c>
      <c r="E17" t="inlineStr">
        <is>
          <t>数字后端工程师</t>
        </is>
      </c>
      <c r="F17" t="inlineStr">
        <is>
          <t>广州至拓网络科技有限公司</t>
        </is>
      </c>
      <c r="G17" t="inlineStr">
        <is>
          <t>上海·黄浦·五里桥</t>
        </is>
      </c>
      <c r="H17" t="inlineStr">
        <is>
          <t xml:space="preserve">岗位职责:
1. 顶层或块级物理设计。从后DFT网表到gds。完成所有的实施工作并进行验收。
2. 确保按时、合格地交货。
3. 就设计挑战和关键问题与客户进行有效的技术沟通。
4. 根据项目需求优化设计流程。
5. 指导没有经验的新工程师。
任职条件:
1. 应聘者应熟悉亚微米物理设计方法。这包括平面规划、布局和布线、电源分析、时序收敛、物理验证。
2. 熟悉主流布局布线工具，需掌握时序分析和物理验证工具。
3. 熟练使用Perl、TCL或其他脚本语言
4. 具有7年以上数字后端工作经验的机电工程本科或机电工程硕士。（相关专业亦可）
5. 有Cadence Place和Route工具经验者优先。具有较强的调试和团队合作能力。
Physical Design
JobResponsibilities:
1. Top or block-level physical design. From postDFT netlistto gds. Finish all implementation job and signoff check.
2. Make sure on schedule andqualified delivery.
3. Make effective technicalcommunication with customer on the design challenge, critical issues.
4. Optimize the design flow according to the project requirement.
5. Mentoring the new inexperienced engineer
Job Requirements
1. Have more than 7 years’ experience on digital backend P&amp;R;(not layout)
2. Have tapeout experience on 16nm process at least, better on 7nm/5nm.
3. Be familiar with P&amp;R flow;(placement/CTS/route)
4. Be familiar with one P&amp;R tool;(innovus/ICC2)
5. Preferred to have experience on top level PnR experience; (Highest priority)
6.Preferred to have special critical block PnR experience such as DDR/PCIE/PHY; (High priority)
7.Preferred to have experience on top level STA/Power/PV analysis; (Medium/Low priority)
</t>
        </is>
      </c>
      <c r="I17" t="inlineStr"/>
      <c r="J17" t="inlineStr">
        <is>
          <t>数字后端工程师</t>
        </is>
      </c>
      <c r="K17" t="inlineStr"/>
      <c r="L17" t="inlineStr">
        <is>
          <t>["物理设计","布局布线","时序分析","物理验证","电源分析","Perl","TCL","Cadence","Innovus","ICC2","数字后端设计"]</t>
        </is>
      </c>
      <c r="M17" t="inlineStr"/>
      <c r="N17" t="inlineStr">
        <is>
          <t>["DDR设计","PCIE设计","PHY设计"]</t>
        </is>
      </c>
      <c r="O17" t="inlineStr"/>
      <c r="P17" t="inlineStr">
        <is>
          <t>{"min_years":7,"max_years":null}</t>
        </is>
      </c>
      <c r="Q17" t="inlineStr"/>
      <c r="R17" t="inlineStr">
        <is>
          <t>本科</t>
        </is>
      </c>
      <c r="S17" t="inlineStr"/>
      <c r="T17" t="inlineStr">
        <is>
          <t>["顶层/块级物理设计（网表到 GDS）","时序收敛与物理验证","设计流程优化与客户技术沟通"]</t>
        </is>
      </c>
      <c r="U17" t="inlineStr">
        <is>
          <t>人工终审_定稿</t>
        </is>
      </c>
      <c r="V17" t="inlineStr"/>
      <c r="W17" t="inlineStr">
        <is>
          <t>title 按标题为数字后端工程师（芯片物理设计岗，终审确认保留芯片物理设计语义）；skills 补『物理设计』（正文任职条件『熟悉亚微米物理设计方法』）；中英双语正文（中文为主）；7 年+；本科（机电工程硕士亦可）</t>
        </is>
      </c>
      <c r="X17" t="inlineStr">
        <is>
          <t>ZKT</t>
        </is>
      </c>
    </row>
    <row r="18">
      <c r="A18" t="inlineStr">
        <is>
          <t>r2_005</t>
        </is>
      </c>
      <c r="B18" t="inlineStr">
        <is>
          <t>zhilian</t>
        </is>
      </c>
      <c r="C18" t="inlineStr">
        <is>
          <t>CC215456710J40837904316</t>
        </is>
      </c>
      <c r="D18" t="inlineStr">
        <is>
          <t>http://www.zhaopin.com/jobdetail/CC215456710J40837904316.htm</t>
        </is>
      </c>
      <c r="E18" t="inlineStr">
        <is>
          <t>图像算法工程师</t>
        </is>
      </c>
      <c r="F18" t="inlineStr">
        <is>
          <t>紫创光科(深圳)科技集团股份有限公司</t>
        </is>
      </c>
      <c r="G18" t="inlineStr">
        <is>
          <t>深圳·宝安·西乡</t>
        </is>
      </c>
      <c r="H18" t="inlineStr">
        <is>
          <t>一、岗位职责：
1.负责图像识别相关算法的设计、开发、优化与落地，重点聚焦无人机场景（室内/室外），包括目标检测、目标跟踪、图像分割、特征提取、图像增强、障碍物识别等核心算法研发。2. 结合无人机应用场景（如室内巡检、自主避障、精准定位、目标抓拍等），优化图像识别算法的实时性、准确性和鲁棒性，解决复杂环境下（光线变化、遮挡、模糊、运动模糊）的识别难题。​
3. 负责算法原型开发、仿真验证，使用Python、C/C++等语言实现算法，配合嵌入式、飞控、硬件团队，完成算法在无人机嵌入式平台的部署与优化，确保算法适配硬件性能。​
4. 搭建图像识别算法测试平台，设计测试用例，开展算法性能测试、兼容性测试，分析测试数据，排查算法缺陷，持续迭代优化算法性能，提升产品体验。​
5. 跟踪计算机视觉、深度学习、图像识别领域的前沿技术（如Transformer、YOLO、CNN等），引入新技术、新方法，结合业务需求进行技术创新和产品迭代。​
6. 负责图像识别算法相关技术文档的编写，包括算法设计文档、技术方案、测试报告、部署说明等，沉淀算法研发经验，参与相关专利、软著申报。​
7. 配合跨部门开展技术研讨、算法评审，与硬件、嵌入式、飞控等团队协同，解决算法与硬件、软件的适配问题，推动算法产品化落地。​
8. 指导初级算法工程师开展研发工作，遵守公司技术规范与保密制度，完成上级交办的其他相关技术任务。
二、
任职要求
学历：本科及以上，2‑4 年 CV 图像算法落地经验；
核心能力
精通目标检测、分割、多目标跟踪；熟练 YOLO 系列，熟悉 ByteTrack、DeepSORT 等；
熟练 OpenCV、PyTorch，能独立完成完整训练链路；
熟悉图像增强、去雾、防抖等航拍图像预处理；
工程落地：模型量化、剪枝、ONNX；了解 TensorRT/NCNN 推理；能够针对嵌入式端做速度优化；
业务理解：理解航拍图像痛点：小目标、远距离、复杂光照、运动模糊；有无人机 / 巡检 / 低空项目实战优先；
产出：有实际上线项目，不是仅调参跑 demo；能输出测试报告，定义算法指标（mAP、召回、FPS）；
加分：SLAM、视觉定位、语义分割；阅读 CVPR/ECCV 论文；C++ 基础</t>
        </is>
      </c>
      <c r="I18" t="inlineStr"/>
      <c r="J18" t="inlineStr">
        <is>
          <t>图像算法工程师</t>
        </is>
      </c>
      <c r="K18" t="inlineStr"/>
      <c r="L18" t="inlineStr">
        <is>
          <t>["目标检测","目标跟踪","图像分割","特征提取","图像增强","障碍物识别","YOLO","ByteTrack","DeepSORT","OpenCV","PyTorch","ONNX","TensorRT","NCNN","模型量化","Python","C/C++"]</t>
        </is>
      </c>
      <c r="M18" t="inlineStr"/>
      <c r="N18" t="inlineStr">
        <is>
          <t>["SLAM","视觉定位","语义分割"]</t>
        </is>
      </c>
      <c r="O18" t="inlineStr"/>
      <c r="P18" t="inlineStr">
        <is>
          <t>{"min_years":2,"max_years":4}</t>
        </is>
      </c>
      <c r="Q18" t="inlineStr"/>
      <c r="R18" t="inlineStr">
        <is>
          <t>本科</t>
        </is>
      </c>
      <c r="S18" t="inlineStr"/>
      <c r="T18" t="inlineStr">
        <is>
          <t>["无人机场景图像识别算法研发与落地","算法实时性与鲁棒性优化","嵌入式平台部署与性能优化","算法测试平台搭建"]</t>
        </is>
      </c>
      <c r="U18" t="inlineStr">
        <is>
          <t>人工终审_定稿</t>
        </is>
      </c>
      <c r="V18" t="inlineStr"/>
      <c r="W18" t="inlineStr">
        <is>
          <t>title 保留细分（round1 无归并先例）；模型剪枝并入量化；2-4 年 CV 经验；本科</t>
        </is>
      </c>
      <c r="X18" t="inlineStr">
        <is>
          <t>ZKT</t>
        </is>
      </c>
    </row>
    <row r="19">
      <c r="A19" t="inlineStr">
        <is>
          <t>r2_006</t>
        </is>
      </c>
      <c r="B19" t="inlineStr">
        <is>
          <t>zhilian</t>
        </is>
      </c>
      <c r="C19" t="inlineStr">
        <is>
          <t>CCL1500505380J40873878209</t>
        </is>
      </c>
      <c r="D19" t="inlineStr">
        <is>
          <t>http://www.zhaopin.com/jobdetail/CCL1500505380J40873878209.htm</t>
        </is>
      </c>
      <c r="E19" t="inlineStr">
        <is>
          <t>java开发工程师</t>
        </is>
      </c>
      <c r="F19" t="inlineStr">
        <is>
          <t>苏州市东拓新能源有限公司</t>
        </is>
      </c>
      <c r="G19" t="inlineStr">
        <is>
          <t>无锡·梁溪·山北</t>
        </is>
      </c>
      <c r="H19" t="inlineStr">
        <is>
          <t>岗位职责：
1.负责公司制造业数字化软件(MES、WMS生产管理系统等)的后端核心功能开发、前端页面的设计与实现,支撑工厂生产流程数字化、智能化升级；
2.参与系统前后端交互设计，完成Java后端接口开发，并配合前端实现数据可视化、生产看板等制造业特色功能,保障系统交互体验与数据准确性；
3.对接ERP,PLM、自动化产线设备等第三方系统,完成接口开发与数据集成,解决跨系统数据流转中的前后端适配问题；
4.负责代码编写、单元测试、性能优化及线上问题排查，保障系统高可用、高稳定性，满足制造业生产场景的使用需求；
5.与项目、实施团队协作,输出技术文档,推动制造业软件项目按时、高质量交付；
6.能接受短期/中长期出差(根据项目需求，出差地点为客户工厂现场,公司承担差旅费用),适应制造业项目现场实施与技术支持节奏。
任职要求：
1.本科及以上学历,计算机、软件工程等相关专业，3-5年Java后端开发经验；
2.熟悉Java语言，熟练掌握Spring Boot、 Spring Cloud等主流后端框架；
3.掌握前端基础技术栈:HTML/CSS/JavaScript，熟悉Vue/React/Element UI等主流前端框架,能独立完成前端页面开发与调试；
4.熟练使用MySQL等关系型数据库，具备复杂 SQL编写与优化能力，了解Redis、MQ等中间件优先；
5.有制造业软件开发经验者优先，熟悉MES WMS、ERP等工业软件，了解OPC UA、 Modbus等工业通讯协议加分；
6.具备良好的沟通协作能力、问题分析与解决能力,能兼顾前后端开发,适配制造业软件快速迭代需求</t>
        </is>
      </c>
      <c r="I19" t="inlineStr"/>
      <c r="J19" t="inlineStr">
        <is>
          <t>Java开发工程师</t>
        </is>
      </c>
      <c r="K19" t="inlineStr"/>
      <c r="L19" t="inlineStr">
        <is>
          <t>["Java","Spring Boot","Spring Cloud","HTML","CSS","JavaScript","Vue","React","Element UI","MySQL","SQL"]</t>
        </is>
      </c>
      <c r="M19" t="inlineStr"/>
      <c r="N19" t="inlineStr">
        <is>
          <t>["Redis","消息队列","MES","WMS","ERP","OPC UA","Modbus"]</t>
        </is>
      </c>
      <c r="O19" t="inlineStr"/>
      <c r="P19" t="inlineStr">
        <is>
          <t>{"min_years":3,"max_years":5}</t>
        </is>
      </c>
      <c r="Q19" t="inlineStr"/>
      <c r="R19" t="inlineStr">
        <is>
          <t>本科</t>
        </is>
      </c>
      <c r="S19" t="inlineStr"/>
      <c r="T19" t="inlineStr">
        <is>
          <t>["制造业数字化软件（MES/WMS）后端开发与前端实现","Java 接口开发与第三方系统数据集成","单元测试与性能优化"]</t>
        </is>
      </c>
      <c r="U19" t="inlineStr">
        <is>
          <t>人工终审_定稿</t>
        </is>
      </c>
      <c r="V19" t="inlineStr"/>
      <c r="W19" t="inlineStr">
        <is>
          <t>⚠️ title 修正：草稿『全栈开发工程师』——职责含前端但岗位为 Java 开发，按标题 Java开发工程师；Redis/MQ『了解优先』入 bonus；3-5 年</t>
        </is>
      </c>
      <c r="X19" t="inlineStr">
        <is>
          <t>ZKT</t>
        </is>
      </c>
    </row>
    <row r="20">
      <c r="A20" t="inlineStr">
        <is>
          <t>r2_007</t>
        </is>
      </c>
      <c r="B20" t="inlineStr">
        <is>
          <t>zhilian</t>
        </is>
      </c>
      <c r="C20" t="inlineStr">
        <is>
          <t>CC189484610J40904579312</t>
        </is>
      </c>
      <c r="D20" t="inlineStr">
        <is>
          <t>http://www.zhaopin.com/jobdetail/CC189484610J40904579312.htm</t>
        </is>
      </c>
      <c r="E20" t="inlineStr">
        <is>
          <t>数据分析工程师</t>
        </is>
      </c>
      <c r="F20" t="inlineStr">
        <is>
          <t>深圳新宙邦科技股份有限公司</t>
        </is>
      </c>
      <c r="G20" t="inlineStr">
        <is>
          <t>深圳·坪山·坪山街道</t>
        </is>
      </c>
      <c r="H20" t="inlineStr">
        <is>
          <t xml:space="preserve">岗位职责：
一、数据需求调研与管理
1）承接业务端数据相关需求调研，梳理核心业务逻辑，明确数据口径、分析目标及输出标准。
2）整理调研结果，输出标准化数据需求文档，对齐业务、技术团队共识，保障需求清晰可落地。
二、数据质量管理
负责数据质量监控、协助数据责任部门开展数据缺失、异常、重复等问题治理，保障数据的准确性、完整性、一致性，夯实数据分析基础。
三、数据分析
1）开展日常业务数据的采集、整理、校验工作、统计、专项数据分析工作，挖掘数据背后的业务规律、潜在问题及增长机会。
2）输出逻辑清晰的数据洞察报告，提炼核心结论，为业务优化、策略调整提供数据支撑。
四、数据建模应用
1）基于实际业务场景，参与搭建基础分析模型、趋势预测模型，辅助业务趋势研判与风险预警。
2）参与数据仓库建模与底层数据建设，协助完成数仓分层设计、维度表与事实表搭建，统一数据口径与规范，保障底层数据一致、可复用，支撑分析与报表的数据基础。
五、数据报表与指标体系设计
1）负责核心数据报表、可视化看板的设计、开发与日常维护，保障报表数据实时、口径统一。
2）参与核心指标体系搭建，制定数据报表、指标维护的系统方案，推动指标标准化、可复用化。
任职资格：
1、工作经验：具备数据分析、数据建模、大数据处理相关校园项目、课程设计、实习经历者优先，有完整的数据分析项目落地经验者加分。
2、专业知识：掌握基础统计学、数据分析理论知识，了解数据清洗、数据建模、指标体系搭建的基本逻辑与流程，具备基础业务逻辑理解能力和业务数据分析思维。能快速学习行业及业务知识。
3、工具技能：
1）熟练使用Excel、PPT等办公工具，可独立完成数据透视、函数运算、分析报告制作；
2）掌握SQL数据查询与处理技能，能独立完成数据提取、筛选、整合；了解Python数据分析（Pandas、Numpy）、可视化工具者优先，熟悉数据建模、BI报表设计者加分；
4、其他素质要求：
1）工作态度严谨细致、责任心强，具备良好的团队协作意识和职业素养；
2）对数据分析、数据挖掘工作有浓厚兴趣，愿意长期深耕数据领域；
3）善于沟通协调，具备良好的团队协作精神，具备良好的文字功底，能够独立输出规范的分析报告、方案文档；
4）诚实守信、积极主动，具备较强的自主学习能力和创新思维。
</t>
        </is>
      </c>
      <c r="I20" t="inlineStr"/>
      <c r="J20" t="inlineStr">
        <is>
          <t>数据分析工程师</t>
        </is>
      </c>
      <c r="K20" t="inlineStr"/>
      <c r="L20" t="inlineStr">
        <is>
          <t>["Excel","PPT","SQL","Python","Pandas","Numpy","数据可视化","数据分析","数据建模","数据清洗","数仓建模"]</t>
        </is>
      </c>
      <c r="M20" t="inlineStr"/>
      <c r="N20" t="inlineStr">
        <is>
          <t>["BI","数据挖掘","指标体系"]</t>
        </is>
      </c>
      <c r="O20" t="inlineStr"/>
      <c r="P20" t="inlineStr"/>
      <c r="Q20" t="inlineStr"/>
      <c r="R20" t="inlineStr"/>
      <c r="S20" t="inlineStr"/>
      <c r="T20" t="inlineStr">
        <is>
          <t>["数据需求调研与管理","数据质量监控与治理","业务数据分析与洞察报告","数仓建模与报表指标体系"]</t>
        </is>
      </c>
      <c r="U20" t="inlineStr">
        <is>
          <t>人工终审_定稿</t>
        </is>
      </c>
      <c r="V20" t="inlineStr"/>
      <c r="W20" t="inlineStr">
        <is>
          <t>⚠️ title：保留『数据分析工程师』（round1 数据分析师为另一岗位，未归一）；无学历/年限条款（实习优先非年限）</t>
        </is>
      </c>
      <c r="X20" t="inlineStr">
        <is>
          <t>ZKT</t>
        </is>
      </c>
    </row>
    <row r="21">
      <c r="A21" t="inlineStr">
        <is>
          <t>r2_008</t>
        </is>
      </c>
      <c r="B21" t="inlineStr">
        <is>
          <t>zhilian</t>
        </is>
      </c>
      <c r="C21" t="inlineStr">
        <is>
          <t>CC398464020J40826604416</t>
        </is>
      </c>
      <c r="D21" t="inlineStr">
        <is>
          <t>http://www.zhaopin.com/jobdetail/CC398464020J40826604416.htm</t>
        </is>
      </c>
      <c r="E21" t="inlineStr">
        <is>
          <t>大模型应用开发工程师</t>
        </is>
      </c>
      <c r="F21" t="inlineStr">
        <is>
          <t>博济医药</t>
        </is>
      </c>
      <c r="G21" t="inlineStr">
        <is>
          <t>广州·天河·新塘</t>
        </is>
      </c>
      <c r="H21" t="inlineStr">
        <is>
          <t>岗位职责
1. 负责企业级大模型文档智能应用开发与落地，基于OpenAI、文心一言、通义千问、Llama、Qwen、DeepSeek等国内外商用及开源大模型，结合LLM、RAG、NLP自然语言处理、OCR文档识别技术搭建私有知识库、智能文档处理体系，依托PyTorch/TensorFlow完成基础模型推理优化，实现文档OCR识别、文本解析、智能生成、精准检索、内容合规校验能力，优化模型幻觉问题，提升业务文本处理效率与内容准确性。
2. 梳理业务智能化研发全流程痛点，搭建统一大模型服务中台，完成模型接口封装、调用监控、成本管控、流量熔断与异常告警，满足企业内网私有化部署要求，保障数据安全，降低AI调用成本与线上故障风险。
3. 负责大模型平台迭代优化，搭建专属向量库、提示词模板库与业务语料库，持续优化向量检索精度、多轮对话体验与接口响应速度，支撑内部办公、业务辅助、智能问答等多类AI业务场景。
4. 主导大模型应用技术架构设计与方案评审，开展项目技术可行性评估，从性能、安全、兼容性多维度制定标准化开发方案，输出技术文档、接口文档与部署运维手册。
5. 制定产品技术路线图与版本迭代计划，独立完成RAG开发、Prompt优化、向量库搭建、模型轻量化微调等核心开发工作，联动产品、算法、测试、业务团队，全程推进项目落地、联调验收与版本迭代。
6. 持续跟进大模型前沿技术、开源生态及行业竞品技术方案，沉淀工程化落地经验；统筹公司全链路大模型应用建设，严控服务稳定性与数据合规风险，助力业务全面智能化升级。
任职要求
1. 本科及以上学历，计算机、人工智能、软件工程等相关专业优先，硕士学历加分；5年及以上大模型应用开发经验，独立完成RAG知识库、私有化大模型、大模型AI中台至少一类项目0-1落地，有B端AI后端开发经验优先。
2. 精通完整RAG全链路开发流程，熟悉OpenAI、文心一言、通义千问、Llama、Qwen、DeepSeek等主流商用及开源大模型调用与适配；扎实掌握NLP基础算法、文本预处理、语义匹配等技术，熟悉OCR文档结构化识别开发对接；熟练使用LangChain/LlamaIndex框架及Milvus/PGVector等向量数据库，熟练运用PyTorch/TensorFlow框架进行模型推理、微调与性能优化，熟悉文档切片、向量检索、重排序全流程，具备线上AI服务性能调优与问题排查能力。
3. 理解大模型底层原理与Prompt工程，掌握LoRA/QLoRA轻量化微调技术，可精准对接产品需求评估技术可行性，具备成熟工程化思维，重视数据安全与业务内容精准度。
4. 熟练掌握Python、FastAPI后端开发，熟悉Docker容器化部署及MySQL、Redis等常用中间件，可独立完成服务开发、部署运维与多项目并行推进。
5. 具备系统架构与数据治理思维，擅长接口权限管控、并发优化、向量数据治理；拥有私有化大模型部署、企业级RAG搭建、AI中台开发、Agent开发中至少两类完整项目落地经验。
6. 加分项：有医药垂直行业大模型项目落地经验；熟悉大模型量化、显存推理优化；拥有模型SFT微调实战经验；有开源大模型项目贡献经历。</t>
        </is>
      </c>
      <c r="I21" t="inlineStr"/>
      <c r="J21" t="inlineStr">
        <is>
          <t>大模型应用开发工程师</t>
        </is>
      </c>
      <c r="K21" t="inlineStr"/>
      <c r="L21" t="inlineStr">
        <is>
          <t>["大模型","RAG","NLP","OCR","OpenAI API","LangChain","LlamaIndex","Milvus","PGVector","PyTorch","TensorFlow","LoRA","QLoRA","Python","FastAPI","Docker","MySQL","Redis","Agent","Prompt工程","向量检索"]</t>
        </is>
      </c>
      <c r="M21" t="inlineStr"/>
      <c r="N21" t="inlineStr">
        <is>
          <t>["模型量化","显存优化","SFT微调","医药行业大模型"]</t>
        </is>
      </c>
      <c r="O21" t="inlineStr"/>
      <c r="P21" t="inlineStr">
        <is>
          <t>{"min_years":5,"max_years":null}</t>
        </is>
      </c>
      <c r="Q21" t="inlineStr"/>
      <c r="R21" t="inlineStr">
        <is>
          <t>本科</t>
        </is>
      </c>
      <c r="S21" t="inlineStr"/>
      <c r="T21" t="inlineStr">
        <is>
          <t>["大模型文档智能应用开发与落地","RAG 知识库与私有化部署","模型服务中台建设","Prompt 优化与轻量化微调"]</t>
        </is>
      </c>
      <c r="U21" t="inlineStr">
        <is>
          <t>人工终审_定稿</t>
        </is>
      </c>
      <c r="V21" t="inlineStr"/>
      <c r="W21" t="inlineStr">
        <is>
          <t>title 与草稿一致；模型实例名（Qwen/DeepSeek/Llama/文心/通义）并入『大模型』不单列；5 年+；本科（硕士加分）</t>
        </is>
      </c>
      <c r="X21" t="inlineStr">
        <is>
          <t>ZKT</t>
        </is>
      </c>
    </row>
    <row r="22">
      <c r="A22" t="inlineStr">
        <is>
          <t>r2_009</t>
        </is>
      </c>
      <c r="B22" t="inlineStr">
        <is>
          <t>zhilian</t>
        </is>
      </c>
      <c r="C22" t="inlineStr">
        <is>
          <t>CCL1514266440J40879934010</t>
        </is>
      </c>
      <c r="D22" t="inlineStr">
        <is>
          <t>http://www.zhaopin.com/jobdetail/CCL1514266440J40879934010.htm</t>
        </is>
      </c>
      <c r="E22" t="inlineStr">
        <is>
          <t>大模型测试工程师</t>
        </is>
      </c>
      <c r="F22" t="inlineStr">
        <is>
          <t>安阳凯莱锦瑜商贸有限公司</t>
        </is>
      </c>
      <c r="G22" t="inlineStr">
        <is>
          <t>深圳·南山·西丽</t>
        </is>
      </c>
      <c r="H22" t="inlineStr">
        <is>
          <t>工作职责：
1. 负责大模型全生命周期测试策略制定，包括功能测试、性能测试、安全性测试及多模态场景验证。
2. 设计并执行针对模型推理逻辑、输出一致性、边界条件的专项测试用例，定位模型缺陷并推动优化。
3. 构建自动化测试框架，提升大模型迭代过程中的测试效率与覆盖度。
4. 分析测试数据与模型输出结果，输出可落地的质量改进建议，支撑模型性能调优。
任职要求：
1. 本科及以上学历，计算机、软件工程等相关专业，具备扎实的软件测试理论基础。
2. 熟悉大模型技术原理，有Transformer架构、Prompt工程或LLM测试经验者优先。
3. 掌握至少一种编程语言（Python/Java），能独立编写测试脚本与自动化工具。
4. 具备良好的逻辑分析能力与问题定位能力，能应对复杂场景下的模型测试挑战。</t>
        </is>
      </c>
      <c r="I22" t="inlineStr"/>
      <c r="J22" t="inlineStr">
        <is>
          <t>大模型测试工程师</t>
        </is>
      </c>
      <c r="K22" t="inlineStr"/>
      <c r="L22" t="inlineStr">
        <is>
          <t>["软件测试","自动化测试","Python","Java","大模型"]</t>
        </is>
      </c>
      <c r="M22" t="inlineStr"/>
      <c r="N22" t="inlineStr">
        <is>
          <t>["Transformer","Prompt工程","LLM测试"]</t>
        </is>
      </c>
      <c r="O22" t="inlineStr"/>
      <c r="P22" t="inlineStr"/>
      <c r="Q22" t="inlineStr"/>
      <c r="R22" t="inlineStr">
        <is>
          <t>本科</t>
        </is>
      </c>
      <c r="S22" t="inlineStr"/>
      <c r="T22" t="inlineStr">
        <is>
          <t>["大模型全生命周期测试策略制定","专项测试用例设计与缺陷定位","自动化测试框架构建","测试数据分析与质量改进"]</t>
        </is>
      </c>
      <c r="U22" t="inlineStr">
        <is>
          <t>人工终审_定稿</t>
        </is>
      </c>
      <c r="V22" t="inlineStr"/>
      <c r="W22" t="inlineStr">
        <is>
          <t>⚠️ Transformer/Prompt/LLM 测试为『优先』条款→bonus（草稿误入 skills）；无年限；本科</t>
        </is>
      </c>
      <c r="X22" t="inlineStr">
        <is>
          <t>ZKT</t>
        </is>
      </c>
    </row>
    <row r="23">
      <c r="A23" t="inlineStr">
        <is>
          <t>r2_010</t>
        </is>
      </c>
      <c r="B23" t="inlineStr">
        <is>
          <t>zhilian</t>
        </is>
      </c>
      <c r="C23" t="inlineStr">
        <is>
          <t>CC381255110J40822619707</t>
        </is>
      </c>
      <c r="D23" t="inlineStr">
        <is>
          <t>http://www.zhaopin.com/jobdetail/CC381255110J40822619707.htm</t>
        </is>
      </c>
      <c r="E23" t="inlineStr">
        <is>
          <t>机器人算法工程师</t>
        </is>
      </c>
      <c r="F23" t="inlineStr">
        <is>
          <t>翔宇医疗</t>
        </is>
      </c>
      <c r="G23" t="inlineStr">
        <is>
          <t>上海·宝山·淞南</t>
        </is>
      </c>
      <c r="H23" t="inlineStr">
        <is>
          <t xml:space="preserve">岗位职责:
1.负责多关节机器人控制系统的运控、力控系统架构设计、算法开发工作；
2.负责多关节机器人的运动控制、轨迹规划、路径规划算法开发工作;
3.负责多关节机器人力控功能开发，力/位混合控制、阻抗控制、导纳控制等;
4.负责控制系统的仿真测试、实机测试、系统优化等；
5.负责控制系统的专利、软件著作权撰写、体系文件输出等；
6.负责人工智能技术与机器人技术的结合项目研究与开发。
任职资格:
1.本科及以上学历，机器人、通信、机械制造及其自动化、机械电子、自动化控制等相关专业；
2.精通机器人运动学、动力学，并且有相关的项目经验；
3.熟悉机器人控制器或通用运动控制器相关开发；
4.熟练使用C/C++,python,了解Linux、ROS、X86、ARM、twincat;
5.熟悉机器人轨迹规划算法和姿态控制算法相关开发；
6.有医疗、理疗机器人系统项目开发经验者优先；
7.有协作机器人、手术机器人、工业机器人控制算法开发经验者优先；
8.熟悉Twincat、ethercat开发的优先；
9.基于人工智能的运动控制训练，或者是遥操作。
</t>
        </is>
      </c>
      <c r="I23" t="inlineStr"/>
      <c r="J23" t="inlineStr">
        <is>
          <t>机器人算法工程师</t>
        </is>
      </c>
      <c r="K23" t="inlineStr"/>
      <c r="L23" t="inlineStr">
        <is>
          <t>["运动控制","轨迹规划","路径规划","力控","阻抗控制","导纳控制","机器人运动学","机器人动力学","C/C++","Python","Linux","ROS"]</t>
        </is>
      </c>
      <c r="M23" t="inlineStr"/>
      <c r="N23" t="inlineStr">
        <is>
          <t>["TwinCAT","EtherCAT","医疗机器人","协作机器人","手术机器人"]</t>
        </is>
      </c>
      <c r="O23" t="inlineStr"/>
      <c r="P23" t="inlineStr"/>
      <c r="Q23" t="inlineStr"/>
      <c r="R23" t="inlineStr">
        <is>
          <t>本科</t>
        </is>
      </c>
      <c r="S23" t="inlineStr"/>
      <c r="T23" t="inlineStr">
        <is>
          <t>["多关节机器人运控/力控架构与算法开发","运动/轨迹/路径规划算法","力位混合与阻抗导纳控制","仿真与实机测试"]</t>
        </is>
      </c>
      <c r="U23" t="inlineStr">
        <is>
          <t>人工终审_定稿</t>
        </is>
      </c>
      <c r="V23" t="inlineStr"/>
      <c r="W23" t="inlineStr">
        <is>
          <t>⚠️ title 修正：草稿『机器人控制算法工程师』按标题为机器人算法工程师；X86/ARM 硬件平台不单列；无年限</t>
        </is>
      </c>
      <c r="X23" t="inlineStr">
        <is>
          <t>ZKT</t>
        </is>
      </c>
    </row>
    <row r="24">
      <c r="A24" t="inlineStr">
        <is>
          <t>r2_011</t>
        </is>
      </c>
      <c r="B24" t="inlineStr">
        <is>
          <t>zhilian</t>
        </is>
      </c>
      <c r="C24" t="inlineStr">
        <is>
          <t>CC215456710J40837904516</t>
        </is>
      </c>
      <c r="D24" t="inlineStr">
        <is>
          <t>http://www.zhaopin.com/jobdetail/CC215456710J40837904516.htm</t>
        </is>
      </c>
      <c r="E24" t="inlineStr">
        <is>
          <t>slam算法工程师</t>
        </is>
      </c>
      <c r="F24" t="inlineStr">
        <is>
          <t>紫创光科(深圳)科技集团股份有限公司</t>
        </is>
      </c>
      <c r="G24" t="inlineStr">
        <is>
          <t>深圳·宝安·西乡</t>
        </is>
      </c>
      <c r="H24" t="inlineStr">
        <is>
          <t>一、岗位职责：1. 系统架构与开发：负责ROS系统架构设计、节点划分与通信策略（Topic/Service/Action）制定，基于DDS优化低延迟、高可靠通信，适配室内巡检场景。
2. 开发与维护核心功能包：激光雷达+IMU融合SLAM（Cartographer/LOAM）、室内高精度定位、路径规划（A*/RRT*/Nav2）、动态避障、任务调度与航点执行。
3. 基于MAVROS完成ROS与PX4飞控的通信对接，实现姿态/位置控制、任务指令下发与遥测数据回传，保障与飞控的实时协同。
4. 传感器与硬件集成：负责激光雷达（如Mid360）、IMU、相机、电池管理等传感器的ROS驱动开发/适配，解决CAN/UART/Ethernet等接口通信与同步问题。
5. 适配嵌入式计算平台（如Jetson Orin NX），完成ROS系统的裁剪、编译构建（CMake/Catkin）与量产级部署，优化内存占用与数据处理延迟。
6. 与硬件团队协作，完成整机联调，解决重心、供电、传感器安装位姿等软硬件协同问题，保障系统稳定性。
7. 算法优化与测试：针对室内复杂环境，优化SLAM建图精度、定位鲁棒性与导航效率，解决动态障碍物、弱纹理、多楼层等场景痛点。
8. 搭建Gazebo/Isaac Sim仿真环境，复现室内巡检场景，开展算法验证、性能测试与回归测试；使用RViz/rqt进行实时调试与数据可视化。
9. 编写rostest/gtest自动化测试用例，制定性能指标（如定位误差、避障响应时间、航时损耗），输出测试报告并推动问题闭环。
10. 工程化与项目交付
负责代码版本管理（Git）、分支策略制定与CI/CD流程搭建，保障代码质量与开发效率。
配合合规团队，完成ROS系统与无人机产品备案、资质申请相关的技术文档准备，满足GB 42590-2023等标准要求。
11.参与项目现场部署、调试与故障排查，解决网络、传感器、控制异常等问题，保障客户项目顺利交付。
12.文档与团队协作
编写技术文档，包括系统设计文档、接口文档、驱动开发手册、调试指南与用户手册。与算法、硬件、测试、产品团队协同，参与需求分析、方案评审与技术攻关
二
任职要求
1. 学历与专业：计算机、自动化、机器人工程、电子信息等相关专业本科及以上学历。
2. 编程与框架：熟练掌握C++/Python，具备Linux下开发经验；精通ROS核心机制，熟悉MAVROS、Navigation2、PCL、OpenCV等功能包。
3. 算法与技术：掌握激光雷达+IMU融合SLAM、多传感器数据融合（如卡尔曼滤波）、路径规划与运动控制基础，有室内机器人/无人机项目经验者优先。
4. 硬件与嵌入式：熟悉Jetson系列平台开发，具备CAN/UART/SPI等接口调试经验，了解无人机飞控（PX4）与动力系统基础。
5. 软技能：具备较强的问题分析与解决能力，良好的团队协作与沟通能力，能够承受项目交付压力。</t>
        </is>
      </c>
      <c r="I24" t="inlineStr"/>
      <c r="J24" t="inlineStr">
        <is>
          <t>SLAM算法工程师</t>
        </is>
      </c>
      <c r="K24" t="inlineStr"/>
      <c r="L24" t="inlineStr">
        <is>
          <t>["SLAM","C++","Python","Linux","ROS","MAVROS","Navigation2","PCL","OpenCV","多传感器融合","卡尔曼滤波","路径规划","运动控制","Jetson","PX4","激光雷达"]</t>
        </is>
      </c>
      <c r="M24" t="inlineStr"/>
      <c r="N24" t="inlineStr">
        <is>
          <t>[]</t>
        </is>
      </c>
      <c r="O24" t="inlineStr"/>
      <c r="P24" t="inlineStr"/>
      <c r="Q24" t="inlineStr"/>
      <c r="R24" t="inlineStr">
        <is>
          <t>本科</t>
        </is>
      </c>
      <c r="S24" t="inlineStr"/>
      <c r="T24" t="inlineStr">
        <is>
          <t>["ROS 系统架构与 SLAM 功能包开发","激光雷达+IMU 融合建图与定位","路径规划与动态避障","MAVROS 飞控对接与嵌入式部署"]</t>
        </is>
      </c>
      <c r="U24" t="inlineStr">
        <is>
          <t>人工终审_定稿</t>
        </is>
      </c>
      <c r="V24" t="inlineStr"/>
      <c r="W24" t="inlineStr">
        <is>
          <t>⚠️ title 修正：草稿『机器人系统工程师』过泛，按标题为 SLAM算法工程师；A*/RRT* 并入路径规划；无年限</t>
        </is>
      </c>
      <c r="X24" t="inlineStr">
        <is>
          <t>ZKT</t>
        </is>
      </c>
    </row>
    <row r="25">
      <c r="A25" t="inlineStr">
        <is>
          <t>r2_012</t>
        </is>
      </c>
      <c r="B25" t="inlineStr">
        <is>
          <t>zhilian</t>
        </is>
      </c>
      <c r="C25" t="inlineStr">
        <is>
          <t>CCL1318355140J40883526703</t>
        </is>
      </c>
      <c r="D25" t="inlineStr">
        <is>
          <t>http://www.zhaopin.com/jobdetail/CCL1318355140J40883526703.htm</t>
        </is>
      </c>
      <c r="E25" t="inlineStr">
        <is>
          <t>计算机视觉算法工程师</t>
        </is>
      </c>
      <c r="F25" t="inlineStr">
        <is>
          <t>某国企</t>
        </is>
      </c>
      <c r="G25" t="inlineStr">
        <is>
          <t>南京·江宁·麒麟</t>
        </is>
      </c>
      <c r="H25" t="inlineStr">
        <is>
          <t>岗位职责：
1.对问题进行需求分析，选择合适的计算机视觉相关的智能模型。
2.对模型进行训练和调优，以满足任务目标。
3.配合具体运行环境，完成模型的轻量化，并进行部署。
4.收集运行数据，持续更新模型。
5.配合项目相关的算法开发工作，研发演示系统，并支撑指标测试等工作。
任职要求：
1.计算机、软件等相关专业，3年以上工作经验。
2.熟练掌握Python语言，掌握C/C++/Java等语言，掌握OpenCV等图像处理工具，具有良好的编程习惯。
3.根据任务需求，处理数据集，使其能够满足模型训练要求。
4.熟悉分类、检测、分割等计算机视觉常见任务，以及使用CNN，Transformer实现指定任务的各种模型。
5.熟悉视觉相关的预训练模型（如CLIP，SAM等），能够基于相关预训练模型完成特定任务，了解大语言模型。
6.了解扩散模型、GAN等图像生成模型，能够运行常见的视觉生成算法进行图像生成。
7.具备根据指定任务，选择特定的技术路线，并从github查找相关代码并修改适配该任务的能力。
8.能够阅读计算机视觉相关的论文，并进行复现。</t>
        </is>
      </c>
      <c r="I25" t="inlineStr"/>
      <c r="J25" t="inlineStr">
        <is>
          <t>计算机视觉算法工程师</t>
        </is>
      </c>
      <c r="K25" t="inlineStr"/>
      <c r="L25" t="inlineStr">
        <is>
          <t>["Python","C/C++","Java","OpenCV","图像分类","目标检测","图像分割","CNN","Transformer","CLIP","SAM","大语言模型","扩散模型","GAN","模型轻量化"]</t>
        </is>
      </c>
      <c r="M25" t="inlineStr"/>
      <c r="N25" t="inlineStr">
        <is>
          <t>[]</t>
        </is>
      </c>
      <c r="O25" t="inlineStr"/>
      <c r="P25" t="inlineStr">
        <is>
          <t>{"min_years":3,"max_years":null}</t>
        </is>
      </c>
      <c r="Q25" t="inlineStr"/>
      <c r="R25" t="inlineStr"/>
      <c r="S25" t="inlineStr"/>
      <c r="T25" t="inlineStr">
        <is>
          <t>["计算机视觉智能模型选型与训练调优","模型轻量化与部署","运行数据收集与模型迭代"]</t>
        </is>
      </c>
      <c r="U25" t="inlineStr">
        <is>
          <t>人工终审_定稿</t>
        </is>
      </c>
      <c r="V25" t="inlineStr"/>
      <c r="W25" t="inlineStr">
        <is>
          <t>⚠️ title 修正：草稿少『算法』二字，按标题保留；无学历条款（仅专业要求）；3 年+</t>
        </is>
      </c>
      <c r="X25" t="inlineStr">
        <is>
          <t>ZKT</t>
        </is>
      </c>
    </row>
    <row r="26">
      <c r="A26" t="inlineStr">
        <is>
          <t>r2_013</t>
        </is>
      </c>
      <c r="B26" t="inlineStr">
        <is>
          <t>zhilian</t>
        </is>
      </c>
      <c r="C26" t="inlineStr">
        <is>
          <t>CC540407920J40832332907</t>
        </is>
      </c>
      <c r="D26" t="inlineStr">
        <is>
          <t>http://www.zhaopin.com/jobdetail/CC540407920J40832332907.htm</t>
        </is>
      </c>
      <c r="E26" t="inlineStr">
        <is>
          <t>摄影测量高级算法工程师</t>
        </is>
      </c>
      <c r="F26" t="inlineStr">
        <is>
          <t>北京数字绿土科技股份有限公司</t>
        </is>
      </c>
      <c r="G26" t="inlineStr">
        <is>
          <t>广州·黄埔·联和</t>
        </is>
      </c>
      <c r="H26" t="inlineStr">
        <is>
          <t>岗位职责：
1、设计并实现多视几何、摄影测量及机器视觉相关算法，包括特征提取与匹配（如 SIFT、SURF、ORB）、光束平差法（BA）、三维重建、匀光匀色、畸变校准等。
2、研究多传感器融合技术（如相机与 LiDAR 联合标定、多模态数据配准）。
3、结合 AI 与传统摄影测量方法，优化数据处理流程（如基于 CNN 的影像解译），提升自动化与智能化水平。
4、撰写算法设计文档、测试报告及用户手册，确保技术知识的有效传递。
任职要求：
1、计算机、摄影测量与遥感、测绘工程、数学等相关专业，本科及以上学历（硕士及以上优先）。
2、扎实掌握多视几何、摄影测量原理、三维重建算法（如 SFM、密集匹配）。
3、编程能力：精通 C++，熟悉 Python，具备多线程、高性能算法实现经验优先。
4、开源库与工具：熟练使用 OpenCV、OpenMVS等计算机视觉与点云处理工具。
5、工程化经验：熟悉算法优化与性能调优（如 GPU 加速、内存管理），有相关产品开发经验优先。
6、熟悉深度学习基础（如PyTorch、CNN、Transformer）。</t>
        </is>
      </c>
      <c r="I26" t="inlineStr"/>
      <c r="J26" t="inlineStr">
        <is>
          <t>摄影测量算法工程师</t>
        </is>
      </c>
      <c r="K26" t="inlineStr"/>
      <c r="L26" t="inlineStr">
        <is>
          <t>["多视几何","摄影测量","三维重建","SFM","密集匹配","光束平差","特征提取与匹配","畸变校正","多传感器融合","相机标定","LiDAR","C++","Python","OpenCV","OpenMVS","GPU加速","PyTorch","CNN","Transformer"]</t>
        </is>
      </c>
      <c r="M26" t="inlineStr"/>
      <c r="N26" t="inlineStr">
        <is>
          <t>[]</t>
        </is>
      </c>
      <c r="O26" t="inlineStr"/>
      <c r="P26" t="inlineStr"/>
      <c r="Q26" t="inlineStr"/>
      <c r="R26" t="inlineStr">
        <is>
          <t>本科</t>
        </is>
      </c>
      <c r="S26" t="inlineStr"/>
      <c r="T26" t="inlineStr">
        <is>
          <t>["多视几何与摄影测量算法实现","多传感器融合与联合标定","AI 与传统方法结合优化处理流程"]</t>
        </is>
      </c>
      <c r="U26" t="inlineStr">
        <is>
          <t>人工终审_定稿</t>
        </is>
      </c>
      <c r="V26" t="inlineStr"/>
      <c r="W26" t="inlineStr">
        <is>
          <t>title 按标题为摄影测量算法工程师（终审口径：级别不保留，去『高级』）；SIFT/SURF/ORB 并入特征提取与匹配；无年限；本科（硕士优先）</t>
        </is>
      </c>
      <c r="X26" t="inlineStr">
        <is>
          <t>ZKT</t>
        </is>
      </c>
    </row>
    <row r="27">
      <c r="A27" t="inlineStr">
        <is>
          <t>r2_014</t>
        </is>
      </c>
      <c r="B27" t="inlineStr">
        <is>
          <t>zhilian</t>
        </is>
      </c>
      <c r="C27" t="inlineStr">
        <is>
          <t>CC445384710J40944129708</t>
        </is>
      </c>
      <c r="D27" t="inlineStr">
        <is>
          <t>http://www.zhaopin.com/jobdetail/CC445384710J40944129708.htm</t>
        </is>
      </c>
      <c r="E27" t="inlineStr">
        <is>
          <t>React前端开发工程师</t>
        </is>
      </c>
      <c r="F27" t="inlineStr">
        <is>
          <t>郑州乐驰软件科技有限公司</t>
        </is>
      </c>
      <c r="G27" t="inlineStr">
        <is>
          <t>上海·闵行·虹桥</t>
        </is>
      </c>
      <c r="H27" t="inlineStr">
        <is>
          <t>岗位职责：
1 前端开发与实现。使用React及相关技术栈进行高质量的前端开发。
2. 跨平台适配。保证应用在各种浏览器、移动设备上的良好表现和兼容性。
3. 性能体验优化。对应用进行性能及体验调优，确保流畅的用户体验。
4. 协作开发。与后端开发团队紧密合作，确保前后端接口的正确对接。
5. 代码维护与文档。编写高质量、易于维护的代码，并提供相应的文档支持。
6. 技术研究与应用。跟进前端技术的最新发展，学习新技术并应用于项目中。
岗位要求：
1. 计算机科学、软件工程或相关专业本科及以上学历。
2. 3年以上前端开发经验，熟悉React及其生态系统。
3. 精通HTML5、CSS3、JavaScript（ES6+）、React框架，具备前端构建工具（如Webpack、Babel等）的使用经验。
4. 具备前端性能优化的实际经验，熟悉页面加载优化、首屏渲染优化等技术。
5. 良好的沟通能力、团队合作精神、需求理解能力，能够和设计师、后端工程师紧密合作。
6. 熟悉编码规范能够写出简洁、易维护、可扩展的代码。</t>
        </is>
      </c>
      <c r="I27" t="inlineStr"/>
      <c r="J27" t="inlineStr">
        <is>
          <t>React前端工程师</t>
        </is>
      </c>
      <c r="K27" t="inlineStr"/>
      <c r="L27" t="inlineStr">
        <is>
          <t>["React","HTML5","CSS3","JavaScript","Webpack","Babel","前端性能优化"]</t>
        </is>
      </c>
      <c r="M27" t="inlineStr"/>
      <c r="N27" t="inlineStr">
        <is>
          <t>[]</t>
        </is>
      </c>
      <c r="O27" t="inlineStr"/>
      <c r="P27" t="inlineStr">
        <is>
          <t>{"min_years":3,"max_years":null}</t>
        </is>
      </c>
      <c r="Q27" t="inlineStr"/>
      <c r="R27" t="inlineStr">
        <is>
          <t>本科</t>
        </is>
      </c>
      <c r="S27" t="inlineStr"/>
      <c r="T27" t="inlineStr">
        <is>
          <t>["React 前端开发与跨平台适配","性能与体验优化","前后端接口对接与代码维护"]</t>
        </is>
      </c>
      <c r="U27" t="inlineStr">
        <is>
          <t>人工终审_定稿</t>
        </is>
      </c>
      <c r="V27" t="inlineStr"/>
      <c r="W27" t="inlineStr">
        <is>
          <t>title 保留 React 细化（终审口径：移除泛化『前端工程师』，保留『React前端工程师』格式）；3 年+；本科</t>
        </is>
      </c>
      <c r="X27" t="inlineStr">
        <is>
          <t>ZKT</t>
        </is>
      </c>
    </row>
    <row r="28">
      <c r="A28" t="inlineStr">
        <is>
          <t>r2_015</t>
        </is>
      </c>
      <c r="B28" t="inlineStr">
        <is>
          <t>zhilian</t>
        </is>
      </c>
      <c r="C28" t="inlineStr">
        <is>
          <t>CCL1450616960J40918695108</t>
        </is>
      </c>
      <c r="D28" t="inlineStr">
        <is>
          <t>http://www.zhaopin.com/jobdetail/CCL1450616960J40918695108.htm</t>
        </is>
      </c>
      <c r="E28" t="inlineStr">
        <is>
          <t>高级前端工程师</t>
        </is>
      </c>
      <c r="F28" t="inlineStr">
        <is>
          <t>龙刍冷链科技(徐州)有限公司</t>
        </is>
      </c>
      <c r="G28" t="inlineStr">
        <is>
          <t>徐州·泉山区·泰山街道</t>
        </is>
      </c>
      <c r="H28" t="inlineStr">
        <is>
          <t>岗位职责：
1.负责公司
移动端：Android、微信小程序
PC端：Web的前端开发与维护
主要是移动端；
2.参与产品的前端架构设计、性能优化及组件化开发；
3.根据产品需求，独立完成页面实现、交互逻辑及接口联调；
4.关注前端新技术，持续优化用户体验与开发流程。
任职要求
1.熟悉Android安卓原生开发；
2.熟练掌握Vue/uniapp等框架，并具备实际项目经验；
3.熟悉HTML5、CSS3、JavaScript(ES6+) 等前端基础技术；
4.有较强的逻辑思维能力和沟通协作能力；
5.有IOS开发经验者优先。
加分项
1.有UI设计经验者优先；
2.有IOS开发、微信小程序原生开发经验；
3.有App混合开发（H5+原生壳）经验者优先；
4.有上线产品或项目作品可展示者优先。</t>
        </is>
      </c>
      <c r="I28" t="inlineStr"/>
      <c r="J28" t="inlineStr">
        <is>
          <t>Vue前端工程师</t>
        </is>
      </c>
      <c r="K28" t="inlineStr"/>
      <c r="L28" t="inlineStr">
        <is>
          <t>["Android开发","Vue","uni-app","HTML5","CSS3","JavaScript"]</t>
        </is>
      </c>
      <c r="M28" t="inlineStr"/>
      <c r="N28" t="inlineStr">
        <is>
          <t>["iOS开发","微信小程序开发","混合开发","UI设计"]</t>
        </is>
      </c>
      <c r="O28" t="inlineStr"/>
      <c r="P28" t="inlineStr"/>
      <c r="Q28" t="inlineStr"/>
      <c r="R28" t="inlineStr"/>
      <c r="S28" t="inlineStr"/>
      <c r="T28" t="inlineStr">
        <is>
          <t>["移动端与 Web 前端开发维护","前端架构设计与组件化开发","页面实现与接口联调"]</t>
        </is>
      </c>
      <c r="U28" t="inlineStr">
        <is>
          <t>人工终审_定稿</t>
        </is>
      </c>
      <c r="V28" t="inlineStr"/>
      <c r="W28" t="inlineStr">
        <is>
          <t>title 按终审口径细化：移除泛化『前端工程师』，主框架 Vue/uniapp → Vue前端工程师；skills 6 项；无学历/年限条款</t>
        </is>
      </c>
      <c r="X28" t="inlineStr">
        <is>
          <t>ZKT</t>
        </is>
      </c>
    </row>
    <row r="29">
      <c r="A29" t="inlineStr">
        <is>
          <t>r2_016</t>
        </is>
      </c>
      <c r="B29" t="inlineStr">
        <is>
          <t>zhilian</t>
        </is>
      </c>
      <c r="C29" t="inlineStr">
        <is>
          <t>CC000565080J40822402005</t>
        </is>
      </c>
      <c r="D29" t="inlineStr">
        <is>
          <t>http://www.zhaopin.com/jobdetail/CC000565080J40822402005.htm</t>
        </is>
      </c>
      <c r="E29" t="inlineStr">
        <is>
          <t>全栈开发工程师</t>
        </is>
      </c>
      <c r="F29" t="inlineStr">
        <is>
          <t>北京昆仑海岸科技股份有限公司</t>
        </is>
      </c>
      <c r="G29" t="inlineStr">
        <is>
          <t>北京·海淀·上地</t>
        </is>
      </c>
      <c r="H29" t="inlineStr">
        <is>
          <t xml:space="preserve">岗位职责
1、参与公司核心产品的需求分析、系统设计、编码实现与模块测试。
2、负责需求功能的设计、开发、优化和维护，确保系统的高可用、高性能和高扩展性。
3、编写高质量、清晰、可维护的代码，并根据代码审查意见进行修改。
4、参与系统架构的讨论与规划，解决开发过程中的技术难点和性能瓶颈。
5、与产品经理、需求工程师、测试工程师等紧密协作，保证项目按时高质量交付。
任职资格
​1、计算机相关专业本科及以上学历，1年及以上JavaScript前端和Java后端开发经验。
​​2、扎实的JavaScript和Java基础​​：深入理解语言模型和特点及性能调优。
​​3、熟练掌握主流开源框架​​：精通Vue前端框架和Spring Boot、Spring Cloud等后端框架，并了解其核心原理。
​​4、熟悉数据库技术​​：熟练使用MySQL/PostgreSQL等关系型数据库，具备SQL优化能力。了解一种或多种NoSQL数据库，如Redis、MongoDB等。
​​5、了解分布式系统概念​​：熟悉缓存、消息队列（如RabbitMQ、Kafka、RocketMQ）等中间件的使用和原理。
​​6、掌握常用开发工具​​：熟练使用Maven/Gradle、Git、Linux常用命令。
7、具备良好的系统设计能力，能够编写结构清晰、易维护的代码。
8、具备良好的沟通能力、团队合作精神和强烈的责任心。
​​
加分项（符合以下条件者优先考虑）：​​
1、有微服务架构下的实际项目开发经验，熟悉Dubbo、gRPC等RPC框架。
2、有高并发、高可用系统设计和开发经验，了解分布式事务、分库分表等方案。
3、熟悉容器化技术（Docker）和容器编排工具（Kubernetes）。
4、有云服务（阿里云、腾讯云、AWS）使用和运维经验。
5、了解前端技术（HTML、CSS、JavaScript、Vue/React）者优先。
6、在GitHub上有个人技术博客或开源项目贡献者优先。
</t>
        </is>
      </c>
      <c r="I29" t="inlineStr"/>
      <c r="J29" t="inlineStr">
        <is>
          <t>全栈开发工程师</t>
        </is>
      </c>
      <c r="K29" t="inlineStr"/>
      <c r="L29" t="inlineStr">
        <is>
          <t>["JavaScript","Java","Vue","Spring Boot","Spring Cloud","MySQL","PostgreSQL","Redis","MongoDB","RabbitMQ","Kafka","RocketMQ","Maven","Gradle","Git","Linux","SQL"]</t>
        </is>
      </c>
      <c r="M29" t="inlineStr"/>
      <c r="N29" t="inlineStr">
        <is>
          <t>["Dubbo","gRPC","微服务","Docker","Kubernetes","分布式事务","分库分表","阿里云","腾讯云","AWS"]</t>
        </is>
      </c>
      <c r="O29" t="inlineStr"/>
      <c r="P29" t="inlineStr">
        <is>
          <t>{"min_years":1,"max_years":null}</t>
        </is>
      </c>
      <c r="Q29" t="inlineStr"/>
      <c r="R29" t="inlineStr">
        <is>
          <t>本科</t>
        </is>
      </c>
      <c r="S29" t="inlineStr"/>
      <c r="T29" t="inlineStr">
        <is>
          <t>["核心产品需求分析与系统设计","全栈编码实现与模块测试","系统架构讨论与性能优化"]</t>
        </is>
      </c>
      <c r="U29" t="inlineStr">
        <is>
          <t>人工终审_定稿</t>
        </is>
      </c>
      <c r="V29" t="inlineStr"/>
      <c r="W29" t="inlineStr">
        <is>
          <t>title 与草稿一致；skills 17 项；1 年+；本科</t>
        </is>
      </c>
      <c r="X29" t="inlineStr">
        <is>
          <t>ZKT</t>
        </is>
      </c>
    </row>
    <row r="30">
      <c r="A30" t="inlineStr">
        <is>
          <t>r2_017</t>
        </is>
      </c>
      <c r="B30" t="inlineStr">
        <is>
          <t>zhilian</t>
        </is>
      </c>
      <c r="C30" t="inlineStr">
        <is>
          <t>CCL1479851850J40865247811</t>
        </is>
      </c>
      <c r="D30" t="inlineStr">
        <is>
          <t>http://www.zhaopin.com/jobdetail/CCL1479851850J40865247811.htm</t>
        </is>
      </c>
      <c r="E30" t="inlineStr">
        <is>
          <t>AI全栈工程师</t>
        </is>
      </c>
      <c r="F30" t="inlineStr">
        <is>
          <t>淮安市纳杰云服技术服务有限责任公司</t>
        </is>
      </c>
      <c r="G30" t="inlineStr">
        <is>
          <t>上海·长宁·华阳路</t>
        </is>
      </c>
      <c r="H30" t="inlineStr">
        <is>
          <t xml:space="preserve">1）核心职责【客户端开发】
1、负责超高清AI智能体“东东”在电视机顶盒/平板/移动端等多尺寸终端上的客户端核心功能开发与迭代，覆盖居家康养、生活服务等场景的智能化升级。
2、负责LLM、VLM模型在端侧的工程化落地，包括端上部署及前后处理逻辑开发，实现低延时、高并发的 AI 服务能力。
3、主导客户端 CI/CD 流程建设，包括自动化构建、测试与多渠道打包发布。
4、负责客户端性能监控（内存、卡顿）与稳定性治理，持续提升智能体在多种终端设备上的用户体验。
2）专项职责【方向一：UI/UX 设计与实现】
1、参与产品需求评审，从技术和用户体验 角度提出可行性建议，关注“看电视难、操作复杂”等用户痛点的 UI 层解决方案。
2、能够基于设计稿高还原度实现大屏/多端界面，或在一定程度内独立完成 UI 设计/调整（如使用 Figma/Sketch 等工具），确保交互细节与设计规范一致。
3、建立和维护组件化 UI 库，适配电视大屏、机顶盒等多尺寸终端的交互规范，提升多端 UI 开发效率与一致性。
3）专项职责【方向二、后端开发与运维】
1、参与 AI 智能体云端服务的模块开发（Python/Java/Go 等），负责 RAG 架构、知识库构建、Agent 框架等核心能力的后端工程化落地。
2、负责服务端部署、监控、日志分析与故障排查，确保面向千万级家庭用户的 AI 服务高可用运行。
（*说明：以上专项职责涉及的两个方向至少满足其一，简历中请注明。）
4）通用职责
1、与公司及生态伙伴的技术团队协作，参与跨团队的项目攻坚及方案设计，持续关注前沿 AI 技术动态，推动超高清 + AI 技术在广电大屏场景中的落地与产品化。 2、协助团队进行技术选型与架构设计，具备从“需求分析 → 技术方案 → 开发实现 → 测试交付 → 上线运维”的完整闭环能力。
</t>
        </is>
      </c>
      <c r="I30" t="inlineStr"/>
      <c r="J30" t="inlineStr">
        <is>
          <t>AI全栈工程师</t>
        </is>
      </c>
      <c r="K30" t="inlineStr"/>
      <c r="L30" t="inlineStr">
        <is>
          <t>["LLM","VLM","客户端开发","RAG","Agent","知识库构建","Python","Java","Go","CI/CD","UI设计","Figma"]</t>
        </is>
      </c>
      <c r="M30" t="inlineStr"/>
      <c r="N30" t="inlineStr">
        <is>
          <t>[]</t>
        </is>
      </c>
      <c r="O30" t="inlineStr"/>
      <c r="P30" t="inlineStr"/>
      <c r="Q30" t="inlineStr"/>
      <c r="R30" t="inlineStr"/>
      <c r="S30" t="inlineStr"/>
      <c r="T30" t="inlineStr">
        <is>
          <t>["AI 智能体客户端开发与端侧 LLM/VLM 落地","客户端 CI/CD 与稳定性治理","UI/UX 设计实现","RAG/Agent 后端工程化"]</t>
        </is>
      </c>
      <c r="U30" t="inlineStr">
        <is>
          <t>人工终审_定稿</t>
        </is>
      </c>
      <c r="V30" t="inlineStr"/>
      <c r="W30" t="inlineStr">
        <is>
          <t>⚠️ title 修正：草稿『客户端开发工程师』按标题为 AI全栈工程师（职责为客户端+UI+后端三方向）；正文无任职要求节，skills 按职责推导，学历/年限留空</t>
        </is>
      </c>
      <c r="X30" t="inlineStr">
        <is>
          <t>ZKT</t>
        </is>
      </c>
    </row>
    <row r="31">
      <c r="A31" t="inlineStr">
        <is>
          <t>r2_018</t>
        </is>
      </c>
      <c r="B31" t="inlineStr">
        <is>
          <t>zhilian</t>
        </is>
      </c>
      <c r="C31" t="inlineStr">
        <is>
          <t>CCL1486636660J40925753612</t>
        </is>
      </c>
      <c r="D31" t="inlineStr">
        <is>
          <t>http://www.zhaopin.com/jobdetail/CCL1486636660J40925753612.htm</t>
        </is>
      </c>
      <c r="E31" t="inlineStr">
        <is>
          <t>Python工程师</t>
        </is>
      </c>
      <c r="F31" t="inlineStr">
        <is>
          <t>信必优(深圳)信息技术有限公司广州分公司</t>
        </is>
      </c>
      <c r="G31" t="inlineStr">
        <is>
          <t>广州·越秀·梅花村</t>
        </is>
      </c>
      <c r="H31" t="inlineStr">
        <is>
          <t xml:space="preserve">Roles and Responsibilities:
• Develop computational finance applications with a focus on performance, scalability, and accuracy.
• Implement high-performance and parallel computing solutions to optimize computationally intensive tasks
• Collaborate with actuarial teams to integrate financial models and simulations into scalable software systems
• Write clean, efficient, and maintainable code using best software engineering practices
• Conduct performance analysis, profiling, and optimizations to improve system throughput and latency
• Develop software systems that are modular, extensible, and maintainable
• Implement APIs and libraries to support financial calculations and simulations
• Document technical decisions, development processes, and optimization results
• Keep up to date of emerging trends and technologies in high-performance computing, parallel processing
Job Requirements：
Must
• Technical field Bachelor's / Master degree (e.g. Computer Engineering or Computer Science)
• 2+ years software engineering experience in coding development, launching products, libraries and technologies.
• Familiar with programming languages in Python, solid awareness of Python coding standard and its basic syntax， data structure, error handling and virtual environment.
• Understanding of multithreading, concurrency, and asynchronous programming
• Knowledge of database (e.g. MySQL, PostgreSQL), version control (e.g. git)
• Understanding of security framework of development and standard deployment process
Preferable
• Hands-on experience in cloud-based platforms (AWS, GCP, Azure, Ali, Tencent, etc.) for scalable computing solutions
• Experience in profiling, debugging, and optimizing code for performance
• Understanding of Python web development framework, such as Django, Flask, or FastAPI.
• Practical experience in unit testing, integration testing and contract testing.
• Experience in the Agile methodologies and software development life cycle (SDLC)
• Know English and/or Cantonese well
</t>
        </is>
      </c>
      <c r="I31" t="inlineStr"/>
      <c r="J31" t="inlineStr">
        <is>
          <t>Python工程师</t>
        </is>
      </c>
      <c r="K31" t="inlineStr"/>
      <c r="L31" t="inlineStr">
        <is>
          <t>["Python","高性能计算","并行计算","多线程","并发编程","异步编程","MySQL","PostgreSQL","Git"]</t>
        </is>
      </c>
      <c r="M31" t="inlineStr"/>
      <c r="N31" t="inlineStr">
        <is>
          <t>["AWS","GCP","Azure","Django","Flask","FastAPI","单元测试"]</t>
        </is>
      </c>
      <c r="O31" t="inlineStr"/>
      <c r="P31" t="inlineStr">
        <is>
          <t>{"min_years":2,"max_years":null}</t>
        </is>
      </c>
      <c r="Q31" t="inlineStr"/>
      <c r="R31" t="inlineStr">
        <is>
          <t>本科</t>
        </is>
      </c>
      <c r="S31" t="inlineStr"/>
      <c r="T31" t="inlineStr">
        <is>
          <t>["计算金融应用开发","高性能并行计算优化","金融模型与仿真集成","API 与库实现"]</t>
        </is>
      </c>
      <c r="U31" t="inlineStr">
        <is>
          <t>人工终审_定稿</t>
        </is>
      </c>
      <c r="V31" t="inlineStr"/>
      <c r="W31" t="inlineStr">
        <is>
          <t>⚠️ title：草稿『计算金融软件工程师』为正文语义，按招聘标题为 Python工程师（英文 JD）；2 年+；本科/硕士</t>
        </is>
      </c>
      <c r="X31" t="inlineStr">
        <is>
          <t>ZKT</t>
        </is>
      </c>
    </row>
    <row r="32">
      <c r="A32" t="inlineStr">
        <is>
          <t>r2_019</t>
        </is>
      </c>
      <c r="B32" t="inlineStr">
        <is>
          <t>zhilian</t>
        </is>
      </c>
      <c r="C32" t="inlineStr">
        <is>
          <t>CCL1465580260J40848678112</t>
        </is>
      </c>
      <c r="D32" t="inlineStr">
        <is>
          <t>http://www.zhaopin.com/jobdetail/CCL1465580260J40848678112.htm</t>
        </is>
      </c>
      <c r="E32" t="inlineStr">
        <is>
          <t>java后端工程师</t>
        </is>
      </c>
      <c r="F32" t="inlineStr">
        <is>
          <t>中海成(北京)技术有限公司</t>
        </is>
      </c>
      <c r="G32" t="inlineStr">
        <is>
          <t>北京·丰台·看丹</t>
        </is>
      </c>
      <c r="H32" t="inlineStr">
        <is>
          <t>一、岗位职责
1.负责公司信息化产品后端功能开发、接口设计与版本迭代；
2.根据需求独立完成模块编码、单元自测，保障交付质量；
3.参与数据库设计、SQL 编写、存储过程开发，完成数据层方案落地；
4.配合前端开展接口联调，定位并解决各类业务问题；
5.优化现有信息化系统，保障系统稳定运行；
6.参与需求评审，梳理业务逻辑，输出开发相关文档。
二、
任职要求
1.本科及以上学历，1-2 年 Java 后端开发经验，能够独立完成业务模块开发；
2.具备扎实 Java 基础，熟悉计算机网络、数据结构、操作系统、数据库相关基础知识；
3.熟练掌握 Spring Boot；熟悉 Dubbo、Thrift 等 RPC 框架、主流 ORM 框架；
4.熟练使用 Redis 缓存，掌握本地缓存、分布式缓存；熟悉 RabbitMQ、Kafka、RocketMQ 等5.消息队列；熟悉 Web 容器、数据库相关技术；熟悉达梦数据库（DM8 优先）；
6.熟悉 SQL 编写与性能调优，了解 RESTful 接口规范；
7.具备基础前端知识，能看懂前端代码、高效协同联调者优先；
8.善于学习新技术，具备良好问题分析与故障排查能力；
9.工作积极主动，责任心强，拥有良好团队协作意识与沟通能力。</t>
        </is>
      </c>
      <c r="I32" t="inlineStr"/>
      <c r="J32" t="inlineStr">
        <is>
          <t>Java后端工程师</t>
        </is>
      </c>
      <c r="K32" t="inlineStr"/>
      <c r="L32" t="inlineStr">
        <is>
          <t>["Java","Spring Boot","Dubbo","Thrift","Redis","RabbitMQ","Kafka","RocketMQ","达梦数据库","SQL","存储过程","ORM","RESTful API"]</t>
        </is>
      </c>
      <c r="M32" t="inlineStr"/>
      <c r="N32" t="inlineStr">
        <is>
          <t>[]</t>
        </is>
      </c>
      <c r="O32" t="inlineStr"/>
      <c r="P32" t="inlineStr">
        <is>
          <t>{"min_years":1,"max_years":2}</t>
        </is>
      </c>
      <c r="Q32" t="inlineStr"/>
      <c r="R32" t="inlineStr">
        <is>
          <t>本科</t>
        </is>
      </c>
      <c r="S32" t="inlineStr"/>
      <c r="T32" t="inlineStr">
        <is>
          <t>["信息化产品后端开发与接口设计","数据库设计与 SQL 优化","接口联调与系统优化"]</t>
        </is>
      </c>
      <c r="U32" t="inlineStr">
        <is>
          <t>人工终审_定稿</t>
        </is>
      </c>
      <c r="V32" t="inlineStr"/>
      <c r="W32" t="inlineStr">
        <is>
          <t>⚠️ title：草稿加『开发』二字，按标题为 Java后端工程师（大小写规范）；1-2 年；本科；前端基础『优先』过泛不入 bonus</t>
        </is>
      </c>
      <c r="X32" t="inlineStr">
        <is>
          <t>ZKT</t>
        </is>
      </c>
    </row>
    <row r="33">
      <c r="A33" t="inlineStr">
        <is>
          <t>r2_020</t>
        </is>
      </c>
      <c r="B33" t="inlineStr">
        <is>
          <t>zhilian</t>
        </is>
      </c>
      <c r="C33" t="inlineStr">
        <is>
          <t>CCL1514710440J40795774106</t>
        </is>
      </c>
      <c r="D33" t="inlineStr">
        <is>
          <t>http://www.zhaopin.com/jobdetail/CCL1514710440J40795774106.htm</t>
        </is>
      </c>
      <c r="E33" t="inlineStr">
        <is>
          <t>视觉算法工程师</t>
        </is>
      </c>
      <c r="F33" t="inlineStr">
        <is>
          <t>上海禹桐科技有限公司</t>
        </is>
      </c>
      <c r="G33" t="inlineStr">
        <is>
          <t>上海·杨浦·新江湾城</t>
        </is>
      </c>
      <c r="H33" t="inlineStr">
        <is>
          <t>【关于我们】
我们是一家专注于仿生智能机器人研发与应用的科技公司，由AI领域知名科学家xx博士（北京大学数学系毕业，原阿里达摩院副总裁）担任CTO。公司已完成天使轮融资，Q3启动A轮融资,公司聚焦酒店服务、医疗康养、家庭养老、家政服务四大市场，已锁定xx集团酒店及儿童医院ICU病房的定制化机器人订单。
仿生机器人要真正理解人类、服务人类，视觉能力是核心前提。我们正在寻找一位懂算法、懂部署、懂工程的机器视觉算法工程师，将前沿的计算机视觉与多模态大模型技术落地到仿生机器人本体上，让机器人真正“看得懂世界、理解得场景”。
【岗位职责】
1. 视觉算法研发
- 开发仿生机器人的核心机器视觉能力，聚焦视频与图像理解，覆盖视频动作检测、目标检测跟踪、目标分割、人脸识别、表情分析、人体姿态估计、OCR等
- 负责多模态大模型算法研发，针对影像开展大模型理解、规划等相关算法系统的设计与研发
- 处理视觉数据并完成标注与管理，设计并推动面向业务场景的数据与模型闭环迭代
2. 嵌入式部署与性能优化
- 负责视觉算法在机器人本体上的迁移、裁剪、部署、验证与性能优化
- 负责OpenCV/传统图像算法、深度学习模型、图像预处理和后处理流程的嵌入式实现
- 负责ONNX、RKNN等模型转换、量化、NPU推理部署、推理性能优化和精度验证
3. 图像处理链路设计
- 负责相机采集后的图像处理链路设计，包括图像格式转换、畸变校正、增强、ROI、检测结果输出等
- 了解相机采集、曝光、增益、触发、ISP、图像质量评价等基础知识
4. 算法工程化
- 负责算法接口封装、服务调用、内存管理、缓存优化和多线程调度
- 负责视觉场景验证，包括精度、速度、稳定性分析与参数优化
- 输出算法部署文档、性能测试报告、模型版本说明和问题分析总结
【
任职要求】
1.基础条件
- 硕士及以上学历，计算机科学与技术、人工智能、自动化、电子信息等相关专业
- 3年以上图像处理、机器视觉、边缘AI部署与开发经验
2.专业技能
- 传统图像算法：精通OpenCV及常见图像处理方法（滤波、边缘、形态学、阈值分割、特征提取、模板匹配、图像配准、畸变校正等）
- 深度学习与视觉算法：
· 熟悉视频动作检测与时序建模、视频行为理解、视频异常检测、视频分类
· 熟悉视频目标检测、跟踪、分割、重识别
· 熟悉图像目标检测、分割、人脸识别、表情分析、图像分类、OCR、人体姿态估计
· 熟悉少样本学习、度量学习、迁移学习、自监督学习等相关算法
- 部署与优化：
· 精通C/C++或Python，具备良好的算法工程化与代码优化能力
· 了解深度学习模型部署流程（导出、转换、量化、推理验证、精度对齐）
· 熟悉Linux环境下算法部署，了解多线程、内存管理、缓存优化和图像数据通路优化
· 能够分析算法在嵌入式平台上的耗时、内存、带宽、CPU/NPU占用和瓶颈
3.加分项
- 熟悉相机采集、图像格式、曝光、增益、触发、ISP、图像质量评价等基础知识
- 熟悉RKNN工具链或其他边缘推理框架，如TensorRT、NCNN、MNN、OpenVINO等，具备NPU/GPU/CPU部署优化经验
- 具有3年以上LLM、LMM、VLM、强化学习等科研或开发经验，且熟悉目标检测分割、动作姿态识别
- 具有机器人相关项目经验者优先</t>
        </is>
      </c>
      <c r="I33" t="inlineStr"/>
      <c r="J33" t="inlineStr">
        <is>
          <t>机器视觉算法工程师</t>
        </is>
      </c>
      <c r="K33" t="inlineStr"/>
      <c r="L33" t="inlineStr">
        <is>
          <t>["目标检测","目标跟踪","图像分割","人脸识别","表情分析","人体姿态估计","OCR","视频动作检测","视频行为理解","多模态大模型","少样本学习","度量学习","迁移学习","自监督学习","OpenCV","C/C++","Python","Linux","ONNX","RKNN","模型量化","嵌入式部署"]</t>
        </is>
      </c>
      <c r="M33" t="inlineStr"/>
      <c r="N33" t="inlineStr">
        <is>
          <t>["TensorRT","NCNN","MNN","OpenVINO","LLM","VLM","强化学习","ISP"]</t>
        </is>
      </c>
      <c r="O33" t="inlineStr"/>
      <c r="P33" t="inlineStr">
        <is>
          <t>{"min_years":3,"max_years":null}</t>
        </is>
      </c>
      <c r="Q33" t="inlineStr"/>
      <c r="R33" t="inlineStr">
        <is>
          <t>硕士</t>
        </is>
      </c>
      <c r="S33" t="inlineStr"/>
      <c r="T33" t="inlineStr">
        <is>
          <t>["仿生机器人视觉算法研发","多模态大模型算法设计与落地","嵌入式部署与性能优化","图像处理链路设计"]</t>
        </is>
      </c>
      <c r="U33" t="inlineStr">
        <is>
          <t>人工终审_定稿</t>
        </is>
      </c>
      <c r="V33" t="inlineStr"/>
      <c r="W33" t="inlineStr">
        <is>
          <t>⚠️ title：草稿『机器视觉算法工程师』，正文自述亦为机器视觉——按招聘标题为视觉算法工程师（终审可改）；22 项 skills；3 年+；硕士</t>
        </is>
      </c>
      <c r="X33" t="inlineStr">
        <is>
          <t>ZKT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2026-08-14T13:47:44Z</dcterms:created>
  <dcterms:modified xmlns:dcterms="http://purl.org/dc/terms/" xmlns:xsi="http://www.w3.org/2001/XMLSchema-instance" xsi:type="dcterms:W3CDTF">2026-08-14T13:47:44Z</dcterms:modified>
</cp:coreProperties>
</file>